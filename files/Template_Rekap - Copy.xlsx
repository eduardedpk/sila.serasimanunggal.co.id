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kpi.online\files\"/>
    </mc:Choice>
  </mc:AlternateContent>
  <xr:revisionPtr revIDLastSave="0" documentId="13_ncr:1_{C0FD6D08-36ED-4821-A320-422621CC10AE}" xr6:coauthVersionLast="47" xr6:coauthVersionMax="47" xr10:uidLastSave="{00000000-0000-0000-0000-000000000000}"/>
  <bookViews>
    <workbookView xWindow="-120" yWindow="-120" windowWidth="29040" windowHeight="15840" activeTab="1" xr2:uid="{AE97B1B4-A69C-4ABF-98E6-9743D721DF69}"/>
  </bookViews>
  <sheets>
    <sheet name="Sheet2" sheetId="2" r:id="rId1"/>
    <sheet name="Rekap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1" l="1"/>
  <c r="X10" i="1"/>
  <c r="V10" i="1"/>
  <c r="T10" i="1"/>
  <c r="AA10" i="1" s="1"/>
  <c r="P10" i="1"/>
  <c r="N10" i="1"/>
  <c r="L10" i="1"/>
  <c r="J10" i="1"/>
  <c r="H10" i="1"/>
  <c r="Q10" i="1" s="1"/>
  <c r="R10" i="1" s="1"/>
  <c r="AB10" i="1" s="1"/>
  <c r="Z11" i="1"/>
  <c r="X11" i="1"/>
  <c r="V11" i="1"/>
  <c r="T11" i="1"/>
  <c r="V9" i="1"/>
  <c r="Z9" i="1"/>
  <c r="X9" i="1"/>
  <c r="T9" i="1"/>
  <c r="P11" i="1"/>
  <c r="N11" i="1"/>
  <c r="L11" i="1"/>
  <c r="J11" i="1"/>
  <c r="H11" i="1"/>
  <c r="P9" i="1"/>
  <c r="N9" i="1"/>
  <c r="L9" i="1"/>
  <c r="J9" i="1"/>
  <c r="H9" i="1"/>
  <c r="AA11" i="1" l="1"/>
  <c r="AA9" i="1"/>
  <c r="Q11" i="1"/>
  <c r="R11" i="1" s="1"/>
  <c r="Q9" i="1"/>
  <c r="R9" i="1" s="1"/>
  <c r="AB11" i="1" l="1"/>
  <c r="AB9" i="1"/>
  <c r="AB13" i="1" s="1"/>
  <c r="AA13" i="1"/>
  <c r="R13" i="1"/>
</calcChain>
</file>

<file path=xl/sharedStrings.xml><?xml version="1.0" encoding="utf-8"?>
<sst xmlns="http://schemas.openxmlformats.org/spreadsheetml/2006/main" count="114" uniqueCount="67">
  <si>
    <t>KEY PERFORMANCE INDICATORS</t>
  </si>
  <si>
    <t>KET :</t>
  </si>
  <si>
    <t>Huruf Biru</t>
  </si>
  <si>
    <t>Dua Team Leader dalam 1 area</t>
  </si>
  <si>
    <t>&gt; 3</t>
  </si>
  <si>
    <t>TEAM LEADER</t>
  </si>
  <si>
    <t>= KPI &lt; 50%</t>
  </si>
  <si>
    <t>PT SERASI MANUNGGAL SEJAHTERA</t>
  </si>
  <si>
    <t>November 2021</t>
  </si>
  <si>
    <t>No.</t>
  </si>
  <si>
    <t>LOKASI / AREA</t>
  </si>
  <si>
    <t>NAMA KARYAWAN</t>
  </si>
  <si>
    <t>NIK</t>
  </si>
  <si>
    <t>REKENING</t>
  </si>
  <si>
    <t>JUMLAH BAWAHAN</t>
  </si>
  <si>
    <t>Laporan Kerja Harian    ( Jmlh )</t>
  </si>
  <si>
    <t>Report Checklist Toilet ( Real )</t>
  </si>
  <si>
    <t>Report Form Pengguna Jasa ( Real )</t>
  </si>
  <si>
    <t>Inspeksi Area(Tgl)</t>
  </si>
  <si>
    <t>Pembayaran Invoice / Tagihan ( Real )</t>
  </si>
  <si>
    <t>Total</t>
  </si>
  <si>
    <t>CAPAIAN</t>
  </si>
  <si>
    <t>SCORE</t>
  </si>
  <si>
    <t>TOTAL</t>
  </si>
  <si>
    <t>Memeriksa,</t>
  </si>
  <si>
    <t>Dibuat,</t>
  </si>
  <si>
    <t>ARIF PRASETIYO</t>
  </si>
  <si>
    <t>MUNTAHA</t>
  </si>
  <si>
    <t>1 TEAM LEADER</t>
  </si>
  <si>
    <t>5 - 10</t>
  </si>
  <si>
    <t>:</t>
  </si>
  <si>
    <t>10 - 15</t>
  </si>
  <si>
    <t>15 - 20</t>
  </si>
  <si>
    <t>&gt;20</t>
  </si>
  <si>
    <t>warna hijau poin2 atau target yg harus dicapai dlm proses kpi</t>
  </si>
  <si>
    <t>LAPORAN HARIAN</t>
  </si>
  <si>
    <t>GAMBAR</t>
  </si>
  <si>
    <t>PERSENTASE</t>
  </si>
  <si>
    <t>CHECKLIST TOILET</t>
  </si>
  <si>
    <t>TANGGAL</t>
  </si>
  <si>
    <t>380-579</t>
  </si>
  <si>
    <t>&lt;=3</t>
  </si>
  <si>
    <t>580-779</t>
  </si>
  <si>
    <t>780-979</t>
  </si>
  <si>
    <t>980-1179</t>
  </si>
  <si>
    <t>1180-1380</t>
  </si>
  <si>
    <t>&gt;=7</t>
  </si>
  <si>
    <t>FORM INSPEKSI AREA</t>
  </si>
  <si>
    <t>JUMLAH</t>
  </si>
  <si>
    <t>FORM PENGGUNA JASA</t>
  </si>
  <si>
    <t>24-25</t>
  </si>
  <si>
    <t>22-23</t>
  </si>
  <si>
    <t>INVOICE</t>
  </si>
  <si>
    <t>POTONGAN</t>
  </si>
  <si>
    <t>&lt;=15</t>
  </si>
  <si>
    <t>LPH</t>
  </si>
  <si>
    <t>15-24</t>
  </si>
  <si>
    <t>INSPEKSI AREA</t>
  </si>
  <si>
    <t>26-27</t>
  </si>
  <si>
    <t>&gt;=27</t>
  </si>
  <si>
    <t>Nilai Insentif</t>
  </si>
  <si>
    <t>Insentif</t>
  </si>
  <si>
    <t>Denda</t>
  </si>
  <si>
    <t>Jumlah</t>
  </si>
  <si>
    <t>Nilai</t>
  </si>
  <si>
    <t>Total Potongan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</si>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</sst>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 * #,##0_ ;_ * \-#,##0_ ;_ * \-??_ ;_ @_ "/>
    <numFmt numFmtId="165" formatCode="_ * #,##0.00_ ;_ * \-#,##0.00_ ;_ * &quot;-&quot;??_ ;_ @_ "/>
    <numFmt numFmtId="166" formatCode="_(&quot;Rp&quot;* #,##0_);_(&quot;Rp&quot;* \(#,##0\);_(&quot;Rp&quot;* &quot;-&quot;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name val="Times New Roman"/>
      <family val="1"/>
    </font>
    <font>
      <sz val="10"/>
      <name val="Arial"/>
      <family val="2"/>
      <charset val="1"/>
    </font>
    <font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27">
    <xf numFmtId="0" fontId="0" fillId="0" borderId="0"/>
    <xf numFmtId="0" fontId="3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37" fontId="14" fillId="0" borderId="0" applyFill="0" applyBorder="0" applyAlignment="0" applyProtection="0"/>
    <xf numFmtId="43" fontId="7" fillId="0" borderId="0" applyFont="0" applyFill="0" applyBorder="0" applyAlignment="0" applyProtection="0"/>
    <xf numFmtId="164" fontId="1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165" fontId="1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 applyFill="0" applyProtection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 applyFill="0" applyProtection="0"/>
    <xf numFmtId="0" fontId="13" fillId="0" borderId="0">
      <alignment vertical="center"/>
    </xf>
    <xf numFmtId="37" fontId="14" fillId="0" borderId="0" applyFill="0" applyBorder="0" applyAlignment="0" applyProtection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0" fontId="7" fillId="0" borderId="0">
      <alignment vertical="center"/>
    </xf>
    <xf numFmtId="0" fontId="6" fillId="0" borderId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37" fontId="14" fillId="0" borderId="0" applyFill="0" applyBorder="0" applyAlignment="0" applyProtection="0"/>
    <xf numFmtId="0" fontId="7" fillId="0" borderId="0" applyFill="0" applyProtection="0"/>
    <xf numFmtId="41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1"/>
    <xf numFmtId="0" fontId="4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9" fillId="0" borderId="0" xfId="1" applyFont="1"/>
    <xf numFmtId="0" fontId="9" fillId="0" borderId="0" xfId="1" quotePrefix="1" applyFont="1"/>
    <xf numFmtId="0" fontId="3" fillId="3" borderId="0" xfId="1" applyFill="1"/>
    <xf numFmtId="0" fontId="3" fillId="0" borderId="0" xfId="1" quotePrefix="1"/>
    <xf numFmtId="0" fontId="10" fillId="0" borderId="0" xfId="1" applyFont="1"/>
    <xf numFmtId="0" fontId="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/>
    <xf numFmtId="41" fontId="3" fillId="0" borderId="0" xfId="1" applyNumberFormat="1"/>
    <xf numFmtId="16" fontId="3" fillId="0" borderId="1" xfId="1" quotePrefix="1" applyNumberFormat="1" applyBorder="1" applyAlignment="1">
      <alignment horizontal="center"/>
    </xf>
    <xf numFmtId="0" fontId="3" fillId="0" borderId="1" xfId="1" quotePrefix="1" applyBorder="1" applyAlignment="1">
      <alignment horizontal="center"/>
    </xf>
    <xf numFmtId="0" fontId="12" fillId="0" borderId="0" xfId="1" applyFont="1"/>
    <xf numFmtId="0" fontId="1" fillId="0" borderId="0" xfId="1" quotePrefix="1" applyFont="1"/>
    <xf numFmtId="0" fontId="4" fillId="0" borderId="1" xfId="2" applyFont="1" applyFill="1" applyBorder="1" applyAlignment="1">
      <alignment horizontal="left"/>
    </xf>
    <xf numFmtId="0" fontId="3" fillId="0" borderId="1" xfId="1" applyFill="1" applyBorder="1" applyAlignment="1">
      <alignment horizontal="center" vertical="center"/>
    </xf>
    <xf numFmtId="42" fontId="3" fillId="0" borderId="1" xfId="1" applyNumberFormat="1" applyFill="1" applyBorder="1"/>
    <xf numFmtId="0" fontId="4" fillId="4" borderId="1" xfId="1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/>
    </xf>
    <xf numFmtId="0" fontId="4" fillId="0" borderId="1" xfId="1" quotePrefix="1" applyFont="1" applyFill="1" applyBorder="1" applyAlignment="1">
      <alignment horizontal="center"/>
    </xf>
    <xf numFmtId="0" fontId="7" fillId="0" borderId="1" xfId="87" applyFill="1" applyBorder="1" applyAlignment="1" applyProtection="1">
      <alignment horizontal="left"/>
    </xf>
    <xf numFmtId="0" fontId="4" fillId="0" borderId="6" xfId="1" quotePrefix="1" applyFont="1" applyFill="1" applyBorder="1" applyAlignment="1">
      <alignment horizontal="center"/>
    </xf>
    <xf numFmtId="0" fontId="4" fillId="0" borderId="2" xfId="4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left"/>
    </xf>
    <xf numFmtId="0" fontId="4" fillId="0" borderId="2" xfId="3" applyFont="1" applyFill="1" applyBorder="1" applyAlignment="1">
      <alignment horizontal="left" vertical="center"/>
    </xf>
    <xf numFmtId="0" fontId="15" fillId="0" borderId="2" xfId="4" applyFont="1" applyFill="1" applyBorder="1" applyAlignment="1">
      <alignment horizontal="center"/>
    </xf>
    <xf numFmtId="0" fontId="7" fillId="0" borderId="2" xfId="171" applyFill="1" applyBorder="1" applyAlignment="1" applyProtection="1">
      <alignment horizontal="left"/>
    </xf>
    <xf numFmtId="0" fontId="3" fillId="0" borderId="2" xfId="1" applyFill="1" applyBorder="1" applyAlignment="1">
      <alignment horizontal="center" vertical="center"/>
    </xf>
    <xf numFmtId="2" fontId="2" fillId="0" borderId="8" xfId="1" applyNumberFormat="1" applyFont="1" applyFill="1" applyBorder="1" applyAlignment="1">
      <alignment horizontal="center" vertical="center"/>
    </xf>
    <xf numFmtId="0" fontId="16" fillId="0" borderId="1" xfId="209" applyFont="1" applyFill="1" applyBorder="1" applyAlignment="1" applyProtection="1">
      <alignment horizontal="left"/>
    </xf>
    <xf numFmtId="0" fontId="3" fillId="0" borderId="1" xfId="1" applyBorder="1" applyAlignment="1">
      <alignment horizontal="center"/>
    </xf>
    <xf numFmtId="0" fontId="4" fillId="0" borderId="3" xfId="4" applyFont="1" applyFill="1" applyBorder="1" applyAlignment="1">
      <alignment horizontal="center" vertical="center"/>
    </xf>
    <xf numFmtId="41" fontId="3" fillId="0" borderId="1" xfId="1" applyNumberFormat="1" applyFill="1" applyBorder="1" applyAlignment="1">
      <alignment horizontal="center" vertical="center"/>
    </xf>
    <xf numFmtId="0" fontId="3" fillId="0" borderId="0" xfId="1"/>
    <xf numFmtId="0" fontId="3" fillId="0" borderId="1" xfId="1" applyBorder="1" applyAlignment="1">
      <alignment horizontal="center" vertical="center"/>
    </xf>
    <xf numFmtId="0" fontId="3" fillId="0" borderId="1" xfId="1" applyBorder="1"/>
    <xf numFmtId="0" fontId="3" fillId="0" borderId="0" xfId="1" applyAlignment="1">
      <alignment horizontal="center" vertical="center"/>
    </xf>
    <xf numFmtId="16" fontId="3" fillId="0" borderId="1" xfId="1" quotePrefix="1" applyNumberFormat="1" applyBorder="1"/>
    <xf numFmtId="0" fontId="3" fillId="0" borderId="1" xfId="1" quotePrefix="1" applyBorder="1"/>
    <xf numFmtId="1" fontId="3" fillId="0" borderId="1" xfId="1" quotePrefix="1" applyNumberFormat="1" applyBorder="1" applyAlignment="1">
      <alignment horizontal="center" vertical="center"/>
    </xf>
    <xf numFmtId="0" fontId="3" fillId="0" borderId="0" xfId="1" applyBorder="1"/>
    <xf numFmtId="0" fontId="3" fillId="0" borderId="0" xfId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9" fontId="3" fillId="0" borderId="0" xfId="1" applyNumberFormat="1"/>
    <xf numFmtId="9" fontId="3" fillId="0" borderId="0" xfId="1" applyNumberFormat="1" applyAlignment="1">
      <alignment horizontal="center" vertical="center"/>
    </xf>
    <xf numFmtId="9" fontId="3" fillId="0" borderId="0" xfId="1" applyNumberFormat="1" applyFill="1" applyBorder="1" applyAlignment="1">
      <alignment horizontal="center" vertical="center"/>
    </xf>
    <xf numFmtId="41" fontId="3" fillId="0" borderId="1" xfId="1" applyNumberFormat="1" applyBorder="1"/>
    <xf numFmtId="0" fontId="3" fillId="5" borderId="0" xfId="1" applyFill="1"/>
    <xf numFmtId="0" fontId="4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6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0" borderId="1" xfId="2" applyFont="1" applyFill="1" applyBorder="1" applyAlignment="1"/>
    <xf numFmtId="0" fontId="8" fillId="2" borderId="1" xfId="1" applyFont="1" applyFill="1" applyBorder="1" applyAlignment="1">
      <alignment vertical="center" wrapText="1"/>
    </xf>
    <xf numFmtId="0" fontId="3" fillId="0" borderId="1" xfId="1" applyFill="1" applyBorder="1"/>
    <xf numFmtId="0" fontId="0" fillId="0" borderId="1" xfId="0" applyBorder="1"/>
    <xf numFmtId="41" fontId="2" fillId="0" borderId="5" xfId="226" applyFont="1" applyBorder="1" applyAlignment="1">
      <alignment horizontal="center" vertical="center"/>
    </xf>
    <xf numFmtId="41" fontId="2" fillId="0" borderId="8" xfId="226" applyFont="1" applyFill="1" applyBorder="1" applyAlignment="1">
      <alignment horizontal="center" vertical="center"/>
    </xf>
    <xf numFmtId="41" fontId="0" fillId="0" borderId="1" xfId="226" applyFont="1" applyBorder="1"/>
    <xf numFmtId="41" fontId="0" fillId="0" borderId="1" xfId="226" applyFont="1" applyBorder="1" applyAlignment="1">
      <alignment horizontal="center" vertical="center"/>
    </xf>
    <xf numFmtId="9" fontId="3" fillId="5" borderId="3" xfId="1" applyNumberFormat="1" applyFill="1" applyBorder="1" applyAlignment="1">
      <alignment horizontal="center" vertical="center"/>
    </xf>
    <xf numFmtId="9" fontId="3" fillId="5" borderId="4" xfId="1" applyNumberFormat="1" applyFill="1" applyBorder="1" applyAlignment="1">
      <alignment horizontal="center" vertical="center"/>
    </xf>
    <xf numFmtId="9" fontId="3" fillId="5" borderId="5" xfId="1" applyNumberFormat="1" applyFill="1" applyBorder="1" applyAlignment="1">
      <alignment horizontal="center" vertical="center"/>
    </xf>
    <xf numFmtId="9" fontId="3" fillId="5" borderId="1" xfId="1" applyNumberForma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6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6" xfId="1" applyFill="1" applyBorder="1" applyAlignment="1">
      <alignment horizontal="center"/>
    </xf>
    <xf numFmtId="0" fontId="3" fillId="0" borderId="2" xfId="1" applyFill="1" applyBorder="1" applyAlignment="1">
      <alignment horizontal="center"/>
    </xf>
    <xf numFmtId="0" fontId="3" fillId="0" borderId="7" xfId="1" applyFill="1" applyBorder="1" applyAlignment="1">
      <alignment horizont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Alignment="1">
      <alignment horizontal="center"/>
    </xf>
  </cellXfs>
  <cellStyles count="227">
    <cellStyle name="Comma [0]" xfId="226" builtinId="6"/>
    <cellStyle name="Comma [0] 2 10" xfId="94" xr:uid="{9EC95DFA-ABAE-4D64-80FA-A138A0385C7D}"/>
    <cellStyle name="Comma [0] 2 11" xfId="98" xr:uid="{E4DFF479-31F1-4A6C-B55A-2B1BF6241DF1}"/>
    <cellStyle name="Comma [0] 2 12" xfId="102" xr:uid="{D7699A29-F88B-4FCF-912B-8C3C3CD0CD74}"/>
    <cellStyle name="Comma [0] 2 13" xfId="106" xr:uid="{3CBDDFD7-7D1C-44FE-8DC7-F94FDE8386B1}"/>
    <cellStyle name="Comma [0] 2 14" xfId="110" xr:uid="{C9FB326A-D48F-4BD2-A639-A38F89E3532B}"/>
    <cellStyle name="Comma [0] 2 15" xfId="114" xr:uid="{5875EED0-62D3-4FEB-8A4C-3E52E2D6B93C}"/>
    <cellStyle name="Comma [0] 2 16" xfId="118" xr:uid="{9D307D59-E908-438F-8B63-D9A9435E0259}"/>
    <cellStyle name="Comma [0] 2 17" xfId="122" xr:uid="{102BC064-D674-47BE-962F-53CBDA90DC62}"/>
    <cellStyle name="Comma [0] 2 18" xfId="126" xr:uid="{C5D59909-FBA9-4687-AFC7-46EFAB78489A}"/>
    <cellStyle name="Comma [0] 2 19" xfId="130" xr:uid="{CB5F1124-9291-44BF-8F10-A79A5309B789}"/>
    <cellStyle name="Comma [0] 2 2" xfId="6" xr:uid="{52BC3C9E-B466-45A0-97D0-FBA884E03533}"/>
    <cellStyle name="Comma [0] 2 20" xfId="134" xr:uid="{6509DF8D-421E-4625-ACE8-D80851C9EC2D}"/>
    <cellStyle name="Comma [0] 2 21" xfId="138" xr:uid="{FC533D00-6DB3-4FED-9FB8-4CF9B0E955CF}"/>
    <cellStyle name="Comma [0] 2 22" xfId="142" xr:uid="{D68E96A2-4251-48CB-84AA-F798F0EC6427}"/>
    <cellStyle name="Comma [0] 2 23" xfId="146" xr:uid="{B961E75C-732C-4223-B43D-9EE26BB1F4D0}"/>
    <cellStyle name="Comma [0] 2 24" xfId="150" xr:uid="{3BDD2BDC-FF97-4C44-975C-EDB29750BDE9}"/>
    <cellStyle name="Comma [0] 2 25" xfId="154" xr:uid="{BF1C2148-7F82-45FF-A622-699EC0883541}"/>
    <cellStyle name="Comma [0] 2 26" xfId="158" xr:uid="{EE389C11-F7F8-47C8-9DA2-F068B65A4EF8}"/>
    <cellStyle name="Comma [0] 2 27" xfId="162" xr:uid="{8AE2CBBC-913A-4411-85F6-9653497B65D1}"/>
    <cellStyle name="Comma [0] 2 28" xfId="166" xr:uid="{C6635D2C-C0EF-4583-8813-399584275667}"/>
    <cellStyle name="Comma [0] 2 29" xfId="170" xr:uid="{9FBD1672-2E3C-48AA-87B7-A21AAE26E42C}"/>
    <cellStyle name="Comma [0] 2 3" xfId="48" xr:uid="{8580163C-6166-4787-8E33-96CD32873A98}"/>
    <cellStyle name="Comma [0] 2 30" xfId="174" xr:uid="{F7AD4602-D397-4741-9239-8483178759A3}"/>
    <cellStyle name="Comma [0] 2 31" xfId="178" xr:uid="{89CE9090-7507-45C4-A4A8-66953C78C77D}"/>
    <cellStyle name="Comma [0] 2 32" xfId="182" xr:uid="{315CE872-12F8-4D21-8905-EE321F0C36AD}"/>
    <cellStyle name="Comma [0] 2 33" xfId="186" xr:uid="{1C05E012-8444-4FAA-9537-F7F09A4DC954}"/>
    <cellStyle name="Comma [0] 2 34" xfId="190" xr:uid="{F466DAC4-6F46-410B-A7DA-0EBF79512053}"/>
    <cellStyle name="Comma [0] 2 35" xfId="194" xr:uid="{738B7C12-3E4B-4B83-9C85-63A500CD2548}"/>
    <cellStyle name="Comma [0] 2 36" xfId="198" xr:uid="{F599EA1F-3BB3-41B5-AE66-732E35AAC1D2}"/>
    <cellStyle name="Comma [0] 2 37" xfId="202" xr:uid="{04082200-60C1-453A-8E99-E005F3204A97}"/>
    <cellStyle name="Comma [0] 2 38" xfId="206" xr:uid="{DE5FDF4A-3002-4829-81E0-B98F856C2B59}"/>
    <cellStyle name="Comma [0] 2 39" xfId="208" xr:uid="{2501E532-DE17-4A3C-8145-3FBDD9FAA94D}"/>
    <cellStyle name="Comma [0] 2 4" xfId="71" xr:uid="{B8240E1C-E632-4841-816D-EAC916C68957}"/>
    <cellStyle name="Comma [0] 2 40" xfId="210" xr:uid="{8142C410-B5F7-4E83-8F69-D63ECFBC5E09}"/>
    <cellStyle name="Comma [0] 2 41" xfId="212" xr:uid="{C75338E8-7313-400C-B175-4D61DE186564}"/>
    <cellStyle name="Comma [0] 2 42" xfId="214" xr:uid="{6B2423AD-1CA6-4E2A-9461-6E2D205A4C2B}"/>
    <cellStyle name="Comma [0] 2 43" xfId="216" xr:uid="{533B1B9A-B045-43C6-8AE6-31C8C3AB4612}"/>
    <cellStyle name="Comma [0] 2 44" xfId="218" xr:uid="{D0D6FD6C-F4F5-44FF-9862-BDA2A029EE9D}"/>
    <cellStyle name="Comma [0] 2 45" xfId="220" xr:uid="{D052269A-F1E3-469C-A0E0-A9971C30C615}"/>
    <cellStyle name="Comma [0] 2 46" xfId="222" xr:uid="{C796A32C-8281-42F6-AABA-2BC21EAEA482}"/>
    <cellStyle name="Comma [0] 2 47" xfId="224" xr:uid="{DD2F387E-4A5A-4493-A305-59F351309314}"/>
    <cellStyle name="Comma [0] 2 5" xfId="75" xr:uid="{4F3EC529-EA1D-4D15-9968-5E768E263CDA}"/>
    <cellStyle name="Comma [0] 2 6" xfId="79" xr:uid="{768F5604-4DC1-48D2-AD71-63925D8804FA}"/>
    <cellStyle name="Comma [0] 2 7" xfId="82" xr:uid="{983521D3-011D-440D-B502-4BAE4AEDCCCC}"/>
    <cellStyle name="Comma [0] 2 8" xfId="86" xr:uid="{CC46A458-7666-45FF-8548-0B2556C193EC}"/>
    <cellStyle name="Comma [0] 2 9" xfId="90" xr:uid="{F9E3E409-D0AA-4766-BB2B-11BC98FE7CC3}"/>
    <cellStyle name="Comma 10" xfId="7" xr:uid="{0DE5BFB7-1B2D-4C25-8FEA-1A34219B13DD}"/>
    <cellStyle name="Comma 100" xfId="8" xr:uid="{BA53246E-B4DD-4559-9A00-466A14FC8105}"/>
    <cellStyle name="Comma 144" xfId="9" xr:uid="{9D3A998F-CEB5-4E4C-950D-510B89DEF15B}"/>
    <cellStyle name="Comma 154" xfId="10" xr:uid="{898EED2A-559F-4C86-B457-7116927E062E}"/>
    <cellStyle name="Comma 163" xfId="11" xr:uid="{527518D5-F43A-4FCA-8492-4E169F457F47}"/>
    <cellStyle name="Comma 165" xfId="12" xr:uid="{86D7B62D-24EB-4D28-979A-A8907E0E9942}"/>
    <cellStyle name="Comma 19" xfId="13" xr:uid="{321D70D5-D481-4E8E-A517-90BCABC07371}"/>
    <cellStyle name="Comma 190" xfId="14" xr:uid="{A90F5A4E-BFD8-4857-BE03-60C9C3813A68}"/>
    <cellStyle name="Comma 209" xfId="15" xr:uid="{F5A8284F-4696-4877-9B74-E8CCAA641E44}"/>
    <cellStyle name="Comma 226" xfId="16" xr:uid="{81746748-7F0B-44BF-948D-B42650DDBB32}"/>
    <cellStyle name="Comma 247" xfId="17" xr:uid="{CD24BFAF-49FD-45C6-9FDB-ADB816273BFD}"/>
    <cellStyle name="Comma 266" xfId="18" xr:uid="{B0144780-9AB5-4184-BF44-8BD79F118689}"/>
    <cellStyle name="Comma 285" xfId="19" xr:uid="{4A934162-7450-4A59-8D4B-1AA8BDA4A24C}"/>
    <cellStyle name="Comma 3" xfId="20" xr:uid="{6EDDA4E6-CFEA-4952-8649-5E21E783828C}"/>
    <cellStyle name="Comma 3 2" xfId="21" xr:uid="{5C4DA59A-B7C4-4BDC-9710-B3A5D3309138}"/>
    <cellStyle name="Comma 374" xfId="22" xr:uid="{1FD1F963-DA30-4AF2-A264-E7A9CF88CF5C}"/>
    <cellStyle name="Comma 378" xfId="23" xr:uid="{E272CD6E-2048-4EB7-AE94-CC2B50EE2702}"/>
    <cellStyle name="Comma 389" xfId="24" xr:uid="{C0EA6F73-3AD9-41FA-9E24-415F4F6AF680}"/>
    <cellStyle name="Excel Built-in Normal" xfId="25" xr:uid="{2DDF290F-8BFB-4129-9637-974AE8490C73}"/>
    <cellStyle name="Normal" xfId="0" builtinId="0"/>
    <cellStyle name="Normal 10" xfId="26" xr:uid="{D4F131CF-EAF9-4006-9948-A5EBA745593D}"/>
    <cellStyle name="Normal 11" xfId="27" xr:uid="{C00B03E5-2602-4338-89A0-907BCD92897E}"/>
    <cellStyle name="Normal 12" xfId="28" xr:uid="{C75B7F18-2992-4822-B73A-35B0A0B9E949}"/>
    <cellStyle name="Normal 13" xfId="29" xr:uid="{5E7E99A6-CCC8-4F9B-AC46-60BD482B8AB3}"/>
    <cellStyle name="Normal 14" xfId="30" xr:uid="{F432DDC9-26A8-4823-A4D4-8CD87DA37227}"/>
    <cellStyle name="Normal 15" xfId="31" xr:uid="{D7B38F72-5A7C-4493-BCE1-C787D88587DB}"/>
    <cellStyle name="Normal 16" xfId="32" xr:uid="{527C49A2-C6D3-47DB-B88E-EDCB0313D2B9}"/>
    <cellStyle name="Normal 17" xfId="33" xr:uid="{B7DD9925-E64D-49CC-B867-9DA7BA98E0BE}"/>
    <cellStyle name="Normal 18" xfId="46" xr:uid="{BEA44909-6A42-4196-8897-893F9B06AF6C}"/>
    <cellStyle name="Normal 19" xfId="72" xr:uid="{0CEBC440-C00D-4A0F-B03F-760E219DB502}"/>
    <cellStyle name="Normal 2" xfId="1" xr:uid="{E3CE74B7-1050-42DE-A349-66BBD30F3645}"/>
    <cellStyle name="Normal 2 10" xfId="52" xr:uid="{E880A56E-BEED-4BA3-B26F-ADC7A41995C0}"/>
    <cellStyle name="Normal 2 11" xfId="67" xr:uid="{3DC4405C-CA97-46D5-83BE-DB3F325824C2}"/>
    <cellStyle name="Normal 2 12" xfId="50" xr:uid="{2E56386C-925A-462B-83A6-F459532D86A9}"/>
    <cellStyle name="Normal 2 13" xfId="69" xr:uid="{B65DCB1C-61F5-48CD-9F1C-9DAD835C9A0E}"/>
    <cellStyle name="Normal 2 14" xfId="73" xr:uid="{7C354B4B-C171-43AE-99D2-6F179910FCAE}"/>
    <cellStyle name="Normal 2 15" xfId="77" xr:uid="{54F90B5A-F557-40B0-81F3-8911B40BA6E0}"/>
    <cellStyle name="Normal 2 16" xfId="80" xr:uid="{287E205B-547F-472B-A296-51E94A3C3B70}"/>
    <cellStyle name="Normal 2 17" xfId="84" xr:uid="{9CFA6414-9F50-4E09-A54D-CAE2BEBF95BD}"/>
    <cellStyle name="Normal 2 18" xfId="88" xr:uid="{6F0096CB-0BE5-4971-AA72-CB3D85995911}"/>
    <cellStyle name="Normal 2 19" xfId="92" xr:uid="{6DA733FC-24BC-46FD-A741-5E783202085C}"/>
    <cellStyle name="Normal 2 2" xfId="34" xr:uid="{CCB19D8C-45A9-4433-9E23-8BA2DE2D4320}"/>
    <cellStyle name="Normal 2 2 10" xfId="51" xr:uid="{DBA769D9-3809-40C0-8C50-73A3B936A7BE}"/>
    <cellStyle name="Normal 2 2 11" xfId="68" xr:uid="{13B8D8C3-00EC-4A13-9FCD-68259E148594}"/>
    <cellStyle name="Normal 2 2 12" xfId="49" xr:uid="{12CABB3F-528C-4211-B798-28462309D488}"/>
    <cellStyle name="Normal 2 2 13" xfId="70" xr:uid="{54A634BD-DCF3-4ACD-9EB7-52147180DBDB}"/>
    <cellStyle name="Normal 2 2 14" xfId="74" xr:uid="{C7D3C187-A56C-4560-A5F1-F51CCB3CBE10}"/>
    <cellStyle name="Normal 2 2 15" xfId="78" xr:uid="{DE40D247-E61A-4CA0-BC0A-356D310DA835}"/>
    <cellStyle name="Normal 2 2 16" xfId="81" xr:uid="{63A98645-8F35-47E3-B9A2-21A1C51DCCB3}"/>
    <cellStyle name="Normal 2 2 17" xfId="85" xr:uid="{06365DF9-6FDE-457B-9855-D0A927903147}"/>
    <cellStyle name="Normal 2 2 18" xfId="89" xr:uid="{FDE07AE5-1585-484C-96A4-8F9BAA2F51C3}"/>
    <cellStyle name="Normal 2 2 19" xfId="93" xr:uid="{48580956-9C8A-4D90-88E7-B0CD462E5EF7}"/>
    <cellStyle name="Normal 2 2 2" xfId="35" xr:uid="{C2F18708-5CC6-4EE5-95A6-48405CF3317F}"/>
    <cellStyle name="Normal 2 2 20" xfId="97" xr:uid="{ABAE27F0-8A0F-4422-87A3-D2837EFE106F}"/>
    <cellStyle name="Normal 2 2 21" xfId="101" xr:uid="{2F6F92D8-DE8B-4D1A-8DAE-BE4200AC9C9C}"/>
    <cellStyle name="Normal 2 2 22" xfId="105" xr:uid="{2C168A58-0F76-4A47-83B2-D12213EE8156}"/>
    <cellStyle name="Normal 2 2 23" xfId="109" xr:uid="{8B364962-644B-4044-BF05-71ECF8F9621D}"/>
    <cellStyle name="Normal 2 2 24" xfId="113" xr:uid="{EEE6158D-99AE-4108-B771-4A9F6A9F108C}"/>
    <cellStyle name="Normal 2 2 25" xfId="117" xr:uid="{39806A1B-AE6D-4250-A0C4-7F3CFA063F3B}"/>
    <cellStyle name="Normal 2 2 26" xfId="121" xr:uid="{B0DC9A4E-CDBF-4FD7-A783-ED4071994406}"/>
    <cellStyle name="Normal 2 2 27" xfId="125" xr:uid="{BB1ED727-2691-45DC-9534-C1AEDBE400E8}"/>
    <cellStyle name="Normal 2 2 28" xfId="129" xr:uid="{A6E4A616-3EFD-4030-A4F4-CB81F46F93A7}"/>
    <cellStyle name="Normal 2 2 29" xfId="133" xr:uid="{8B0B835D-B76F-42E3-B2C6-16F428DAE4E3}"/>
    <cellStyle name="Normal 2 2 3" xfId="60" xr:uid="{40A4E1F9-E84B-4246-A51A-4223A8B1E337}"/>
    <cellStyle name="Normal 2 2 30" xfId="137" xr:uid="{79B8845E-5531-461B-B813-706324E83001}"/>
    <cellStyle name="Normal 2 2 31" xfId="141" xr:uid="{9BC2FF95-0F8B-4605-A5A0-5906E3D17130}"/>
    <cellStyle name="Normal 2 2 32" xfId="145" xr:uid="{2AE3A282-4FDE-4E59-9EB5-8B0D94FFC58B}"/>
    <cellStyle name="Normal 2 2 33" xfId="149" xr:uid="{AEA5CE83-9A54-4CF6-9E84-CBFA6D64BD4A}"/>
    <cellStyle name="Normal 2 2 34" xfId="153" xr:uid="{53B07DD0-4185-4DFB-8219-A5C71BF92F5E}"/>
    <cellStyle name="Normal 2 2 35" xfId="157" xr:uid="{029988D2-08E6-4C55-9DE4-5A87E732DE20}"/>
    <cellStyle name="Normal 2 2 36" xfId="161" xr:uid="{CDB7A0FF-019A-42FF-88D1-0DEA02E13B38}"/>
    <cellStyle name="Normal 2 2 37" xfId="165" xr:uid="{1EE8D3A6-4B78-48BD-BC64-33518BF1CDA8}"/>
    <cellStyle name="Normal 2 2 38" xfId="169" xr:uid="{BE2E242F-95EA-40AB-A3A4-313A9B5638E4}"/>
    <cellStyle name="Normal 2 2 39" xfId="173" xr:uid="{30284970-3EA9-4A74-83D1-C3204AC303D9}"/>
    <cellStyle name="Normal 2 2 4" xfId="57" xr:uid="{4592C97A-7756-46F0-85D3-C87394F8F3F4}"/>
    <cellStyle name="Normal 2 2 40" xfId="177" xr:uid="{1CE245FC-F4B6-4438-93A3-1043F95653D7}"/>
    <cellStyle name="Normal 2 2 41" xfId="181" xr:uid="{53DD5175-0679-486D-AB65-64CA85459A53}"/>
    <cellStyle name="Normal 2 2 42" xfId="185" xr:uid="{5458739B-7C68-4D8A-B611-CA56A339ACB4}"/>
    <cellStyle name="Normal 2 2 43" xfId="189" xr:uid="{822447F6-BAB1-4E75-B77C-5C1CF031EFDE}"/>
    <cellStyle name="Normal 2 2 44" xfId="193" xr:uid="{5C4A8665-202E-432B-8903-8CDFF57B87F7}"/>
    <cellStyle name="Normal 2 2 45" xfId="197" xr:uid="{E48A95FF-97FB-48F1-9E50-AC607CB82763}"/>
    <cellStyle name="Normal 2 2 46" xfId="201" xr:uid="{A57003D9-C381-44EE-9859-2F68BD7DDB06}"/>
    <cellStyle name="Normal 2 2 47" xfId="205" xr:uid="{CA2CD43E-CA2B-4D5C-AE04-0C2F9451448E}"/>
    <cellStyle name="Normal 2 2 5" xfId="62" xr:uid="{71C8208B-877E-4472-9BA8-03D389761D46}"/>
    <cellStyle name="Normal 2 2 6" xfId="55" xr:uid="{C6C949A7-DDF2-48AB-A6E6-00C436E83304}"/>
    <cellStyle name="Normal 2 2 7" xfId="64" xr:uid="{AE14FB29-684F-4443-BF5A-D082DEB7E501}"/>
    <cellStyle name="Normal 2 2 8" xfId="53" xr:uid="{4F6EF4F3-E9B5-4219-841E-561DA26557AC}"/>
    <cellStyle name="Normal 2 2 9" xfId="66" xr:uid="{2CECE465-9ECA-4521-971F-653A45F40A85}"/>
    <cellStyle name="Normal 2 20" xfId="96" xr:uid="{58E01E4D-A28B-481C-96F8-447EEFF7C1C9}"/>
    <cellStyle name="Normal 2 21" xfId="100" xr:uid="{1E40A7D1-E05C-4260-BABA-06700E134C1E}"/>
    <cellStyle name="Normal 2 22" xfId="104" xr:uid="{11CD1F37-A9AB-4A19-AC38-794CD2FA020E}"/>
    <cellStyle name="Normal 2 23" xfId="108" xr:uid="{7E175B39-FDF2-4418-BD50-3766FB2763CF}"/>
    <cellStyle name="Normal 2 24" xfId="112" xr:uid="{18809984-A129-4A57-94F4-B1CDE52E225B}"/>
    <cellStyle name="Normal 2 25" xfId="116" xr:uid="{28FF3AF8-55BF-4FCC-BA76-BCFABF4C8B25}"/>
    <cellStyle name="Normal 2 26" xfId="120" xr:uid="{23799973-80FD-4A54-9F0F-A86079A4333D}"/>
    <cellStyle name="Normal 2 27" xfId="124" xr:uid="{1BF5AA5A-750F-490B-8F4D-7D871ADE967E}"/>
    <cellStyle name="Normal 2 28" xfId="128" xr:uid="{7244E25F-37CE-4999-BE33-88435E172B2C}"/>
    <cellStyle name="Normal 2 29" xfId="132" xr:uid="{2C59053A-0EE4-4B41-96D4-D68CC7858FA9}"/>
    <cellStyle name="Normal 2 3" xfId="59" xr:uid="{DB9D045C-8F83-4B5C-B2A9-336017386D51}"/>
    <cellStyle name="Normal 2 30" xfId="136" xr:uid="{35E1891F-B7B5-4475-A2E5-FC1ABE59272C}"/>
    <cellStyle name="Normal 2 31" xfId="140" xr:uid="{9EFE5B86-641B-48DB-B798-3F2181238903}"/>
    <cellStyle name="Normal 2 32" xfId="144" xr:uid="{A42330A2-FFF2-4B97-B752-F9B95BF82290}"/>
    <cellStyle name="Normal 2 33" xfId="148" xr:uid="{DA46179E-9474-4FBF-A145-59BA8C058AFD}"/>
    <cellStyle name="Normal 2 34" xfId="152" xr:uid="{3A7E95B0-00E4-4C62-ACC3-260F8E5D3389}"/>
    <cellStyle name="Normal 2 35" xfId="156" xr:uid="{25D4CEC1-2EA2-4B0D-B312-BE38D9AFA034}"/>
    <cellStyle name="Normal 2 36" xfId="160" xr:uid="{9713F2D5-69DD-44FA-9044-BF6A018A417C}"/>
    <cellStyle name="Normal 2 37" xfId="164" xr:uid="{338D2107-7D90-448C-899C-0362EC4175B3}"/>
    <cellStyle name="Normal 2 38" xfId="168" xr:uid="{486D47CC-A122-49D5-B752-C38BB4B5C4DC}"/>
    <cellStyle name="Normal 2 39" xfId="172" xr:uid="{C346C8AC-5E1C-483E-B458-0848DD005628}"/>
    <cellStyle name="Normal 2 4" xfId="58" xr:uid="{DC89956B-BB82-44F0-BB15-84D3F72EB23D}"/>
    <cellStyle name="Normal 2 40" xfId="176" xr:uid="{F1AC74AC-CA3F-446B-9742-9DBBE110F228}"/>
    <cellStyle name="Normal 2 41" xfId="180" xr:uid="{85FCE9A8-FC4C-4763-B98B-3CA93FE722CB}"/>
    <cellStyle name="Normal 2 42" xfId="184" xr:uid="{46D77B49-9B77-49E7-86EB-8DB6D059AA34}"/>
    <cellStyle name="Normal 2 43" xfId="188" xr:uid="{38BA0941-4173-41A6-892B-BD37B14E7603}"/>
    <cellStyle name="Normal 2 44" xfId="192" xr:uid="{E4BB3887-6ABD-4BDC-A6F6-EAE649B15378}"/>
    <cellStyle name="Normal 2 45" xfId="196" xr:uid="{15CC41B9-BDB5-48AF-BD17-D0ED875A68E7}"/>
    <cellStyle name="Normal 2 46" xfId="200" xr:uid="{1EB71042-CFDD-49EB-9D5A-4AFE5C33F528}"/>
    <cellStyle name="Normal 2 47" xfId="204" xr:uid="{1EDF133E-1288-43D8-8A79-DB31E56953F4}"/>
    <cellStyle name="Normal 2 5" xfId="61" xr:uid="{30E99CCA-BAA1-46EA-AD73-DB10BC37C34E}"/>
    <cellStyle name="Normal 2 6" xfId="56" xr:uid="{5B6829E9-E957-4052-8B44-3CAC38C2B7DE}"/>
    <cellStyle name="Normal 2 7" xfId="63" xr:uid="{485A7F85-99A8-4B8C-86A7-8DDB804DEBDF}"/>
    <cellStyle name="Normal 2 8" xfId="54" xr:uid="{748453D6-F855-4715-BBA7-A8685CF8C142}"/>
    <cellStyle name="Normal 2 9" xfId="65" xr:uid="{348E0D2E-B18E-4DF2-A9A0-ADBE43265B1D}"/>
    <cellStyle name="Normal 20" xfId="76" xr:uid="{13D3E8CD-7F3A-451A-A56B-6017CEA51BEC}"/>
    <cellStyle name="Normal 22" xfId="83" xr:uid="{A429F5CE-2C03-48B6-873E-2247D6D6400B}"/>
    <cellStyle name="Normal 23" xfId="36" xr:uid="{E1B0D313-A65C-4423-9B45-CC956319CD9A}"/>
    <cellStyle name="Normal 24" xfId="87" xr:uid="{61C89AEF-E4C2-4510-95BF-0CED4EE34970}"/>
    <cellStyle name="Normal 25" xfId="91" xr:uid="{B91A82A2-4180-4242-8216-E0094D096034}"/>
    <cellStyle name="Normal 26" xfId="95" xr:uid="{4731D975-51AC-4997-8A77-691D0F405A44}"/>
    <cellStyle name="Normal 27" xfId="99" xr:uid="{3ADF996F-7682-49D6-89B3-69B2506478DE}"/>
    <cellStyle name="Normal 28" xfId="103" xr:uid="{3154C109-77CA-4A28-8660-7B30252098A6}"/>
    <cellStyle name="Normal 29" xfId="107" xr:uid="{E71568D2-C064-409D-9EE8-CA4F12A7E9C9}"/>
    <cellStyle name="Normal 3" xfId="37" xr:uid="{B7596BFF-47CB-44A3-8C07-5FEDE5A18EAA}"/>
    <cellStyle name="Normal 30" xfId="111" xr:uid="{2A41DFED-D101-45F9-908F-F0403E50F311}"/>
    <cellStyle name="Normal 31" xfId="115" xr:uid="{D065A966-BCBD-4BA0-8809-8355685AD250}"/>
    <cellStyle name="Normal 32" xfId="119" xr:uid="{8403472F-CF6C-44B9-BA29-F429D4D7761D}"/>
    <cellStyle name="Normal 33" xfId="123" xr:uid="{B049D789-4897-4863-80C3-A65F4FDC9810}"/>
    <cellStyle name="Normal 34" xfId="127" xr:uid="{A3165B35-CF30-4B72-AB6C-042562DD8DDE}"/>
    <cellStyle name="Normal 35" xfId="38" xr:uid="{F3BA723A-1E71-4281-ABBA-899282C80F10}"/>
    <cellStyle name="Normal 36" xfId="131" xr:uid="{3C985FCE-9E9E-4FB0-BF22-24E8D6AD40C6}"/>
    <cellStyle name="Normal 37" xfId="135" xr:uid="{DAF44725-E6B8-490A-A4C0-080340809ECD}"/>
    <cellStyle name="Normal 38" xfId="139" xr:uid="{C4195512-5DA1-47BE-B26D-6019C4212250}"/>
    <cellStyle name="Normal 39" xfId="143" xr:uid="{D3C56E8A-6480-42E0-AD5F-311A81A2C5B8}"/>
    <cellStyle name="Normal 4" xfId="39" xr:uid="{99AB0CBE-E3AA-4A1C-AD31-C2CC6FE16FAE}"/>
    <cellStyle name="Normal 40" xfId="147" xr:uid="{B079615C-BCE0-4FC0-9CB4-8DD5EBDE22F0}"/>
    <cellStyle name="Normal 41" xfId="151" xr:uid="{59621B30-88F3-4726-B0CD-9BC4802F87D2}"/>
    <cellStyle name="Normal 42" xfId="155" xr:uid="{738C7505-331E-483C-9F72-AE646C2EEBB3}"/>
    <cellStyle name="Normal 43" xfId="159" xr:uid="{403E61BA-21E5-4F2F-A525-F59E8DB60E8B}"/>
    <cellStyle name="Normal 44" xfId="163" xr:uid="{FD813358-095B-445B-9A9A-C75E5A116A26}"/>
    <cellStyle name="Normal 45" xfId="167" xr:uid="{98B61476-3F3A-4DEA-B63B-6407D842DFA0}"/>
    <cellStyle name="Normal 46" xfId="171" xr:uid="{75F95B91-4944-447C-A6D3-FED368E6E625}"/>
    <cellStyle name="Normal 47" xfId="175" xr:uid="{EBFFB3C5-2F08-4AA4-9F1E-267CB7A307DD}"/>
    <cellStyle name="Normal 48" xfId="179" xr:uid="{F7642303-683F-4E6E-AA72-5E1CD44D5305}"/>
    <cellStyle name="Normal 49" xfId="183" xr:uid="{17EE72D6-AA52-46FB-A857-B460754F86BC}"/>
    <cellStyle name="Normal 5" xfId="40" xr:uid="{16441F90-70CA-46FC-AEFC-91847B79A39D}"/>
    <cellStyle name="Normal 5 2" xfId="41" xr:uid="{FFD58690-FC03-4577-AEDF-F91937B9971C}"/>
    <cellStyle name="Normal 50" xfId="187" xr:uid="{212DF1C5-51D0-404B-B771-48A6900BE9FC}"/>
    <cellStyle name="Normal 51" xfId="191" xr:uid="{47C5920A-7AD0-496A-8314-FDF0FCA77200}"/>
    <cellStyle name="Normal 52" xfId="195" xr:uid="{998ACF8E-24AE-473C-BAD5-264BE10B2703}"/>
    <cellStyle name="Normal 53" xfId="199" xr:uid="{AED06588-20BE-4368-857C-C4274944635F}"/>
    <cellStyle name="Normal 54" xfId="203" xr:uid="{9E483D39-1825-4E4D-B7BE-4D5552025021}"/>
    <cellStyle name="Normal 55" xfId="207" xr:uid="{B647CA06-B58A-420A-8497-2674C8006E98}"/>
    <cellStyle name="Normal 56" xfId="209" xr:uid="{AB0D8056-7F81-4E60-8909-0F4CBF033E40}"/>
    <cellStyle name="Normal 57" xfId="211" xr:uid="{E95AB4EB-7548-45D8-8405-2ED8A705D76F}"/>
    <cellStyle name="Normal 58" xfId="213" xr:uid="{01F4811C-DB1E-4318-A4AD-C2F64861676C}"/>
    <cellStyle name="Normal 59" xfId="215" xr:uid="{4BDAF1EE-DB42-4374-9AA9-5241B5729053}"/>
    <cellStyle name="Normal 6" xfId="42" xr:uid="{131C845C-D729-40BC-84CE-6908093E7245}"/>
    <cellStyle name="Normal 6 2" xfId="43" xr:uid="{4215393C-5DBD-4480-A240-ECF74BFCED03}"/>
    <cellStyle name="Normal 60" xfId="217" xr:uid="{4E4A548C-FE4E-42F1-AB3D-D9EC24496ADE}"/>
    <cellStyle name="Normal 61" xfId="219" xr:uid="{A3BAEBC4-4F34-42D5-A723-F5258067055E}"/>
    <cellStyle name="Normal 62" xfId="221" xr:uid="{1E462695-8675-4445-8B9E-1D29A72F90C3}"/>
    <cellStyle name="Normal 63" xfId="223" xr:uid="{F9E58FD7-A01B-4D5D-87DA-295F351C82F8}"/>
    <cellStyle name="Normal 64" xfId="225" xr:uid="{C892E0AF-53DA-4408-98BC-DFE853EBC03A}"/>
    <cellStyle name="Normal 7" xfId="44" xr:uid="{843E2169-FF20-4B53-890F-A2C980EE7EEC}"/>
    <cellStyle name="Normal 8" xfId="45" xr:uid="{9882BC40-165B-4516-9BA2-AE28B9EE3445}"/>
    <cellStyle name="Normal 8 2" xfId="5" xr:uid="{05EF5A50-4CAB-4CDB-8883-FDBC93B9CA97}"/>
    <cellStyle name="Normal 9" xfId="47" xr:uid="{3F573357-97DA-484A-B899-A0EA3C0F3B2F}"/>
    <cellStyle name="Normal_BI. GAJI JUNI 2008_GAJI FEBRUARI 2010 2 2" xfId="4" xr:uid="{A4EF15CD-75F9-4488-968F-A92ECB7798BB}"/>
    <cellStyle name="Normal_BI. GAJI JUNI 2008_GAJI FEBRUARI 2010 3" xfId="3" xr:uid="{B587069F-37FD-4EDB-BD2F-A2F6D4356DF1}"/>
    <cellStyle name="Normal_gaji 2010_GAJI FEBRUARI 2010 2 2" xfId="2" xr:uid="{629FA076-CB48-4253-B1E0-1B6D8CECDC24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7398-DA4D-49D3-9CDE-67A95F0CE3D0}">
  <dimension ref="A2:M35"/>
  <sheetViews>
    <sheetView workbookViewId="0">
      <selection activeCell="T17" sqref="T17"/>
    </sheetView>
  </sheetViews>
  <sheetFormatPr defaultRowHeight="15" x14ac:dyDescent="0.25"/>
  <sheetData>
    <row r="2" spans="1:13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52"/>
      <c r="M2" s="38" t="s">
        <v>34</v>
      </c>
    </row>
    <row r="3" spans="1:13" x14ac:dyDescent="0.25">
      <c r="A3" s="80" t="s">
        <v>35</v>
      </c>
      <c r="B3" s="39" t="s">
        <v>36</v>
      </c>
      <c r="C3" s="39" t="s">
        <v>22</v>
      </c>
      <c r="D3" s="39" t="s">
        <v>37</v>
      </c>
      <c r="E3" s="41"/>
      <c r="F3" s="74" t="s">
        <v>38</v>
      </c>
      <c r="G3" s="39" t="s">
        <v>39</v>
      </c>
      <c r="H3" s="39" t="s">
        <v>22</v>
      </c>
      <c r="I3" s="39" t="s">
        <v>37</v>
      </c>
      <c r="J3" s="38"/>
      <c r="K3" s="38"/>
      <c r="L3" s="38"/>
      <c r="M3" s="38"/>
    </row>
    <row r="4" spans="1:13" x14ac:dyDescent="0.25">
      <c r="A4" s="80"/>
      <c r="B4" s="39" t="s">
        <v>40</v>
      </c>
      <c r="C4" s="39">
        <v>1</v>
      </c>
      <c r="D4" s="71">
        <v>0.25</v>
      </c>
      <c r="E4" s="41"/>
      <c r="F4" s="75"/>
      <c r="G4" s="39" t="s">
        <v>41</v>
      </c>
      <c r="H4" s="39">
        <v>5</v>
      </c>
      <c r="I4" s="68">
        <v>0.15</v>
      </c>
      <c r="J4" s="38"/>
      <c r="K4" s="38"/>
      <c r="L4" s="38"/>
      <c r="M4" s="38"/>
    </row>
    <row r="5" spans="1:13" x14ac:dyDescent="0.25">
      <c r="A5" s="80"/>
      <c r="B5" s="39" t="s">
        <v>42</v>
      </c>
      <c r="C5" s="39">
        <v>2</v>
      </c>
      <c r="D5" s="71"/>
      <c r="E5" s="41"/>
      <c r="F5" s="75"/>
      <c r="G5" s="39">
        <v>4</v>
      </c>
      <c r="H5" s="39">
        <v>4</v>
      </c>
      <c r="I5" s="69"/>
      <c r="J5" s="49">
        <v>0.15</v>
      </c>
      <c r="K5" s="38"/>
      <c r="L5" s="38"/>
      <c r="M5" s="38"/>
    </row>
    <row r="6" spans="1:13" x14ac:dyDescent="0.25">
      <c r="A6" s="80"/>
      <c r="B6" s="39" t="s">
        <v>43</v>
      </c>
      <c r="C6" s="39">
        <v>3</v>
      </c>
      <c r="D6" s="71"/>
      <c r="E6" s="49"/>
      <c r="F6" s="75"/>
      <c r="G6" s="39">
        <v>5</v>
      </c>
      <c r="H6" s="39">
        <v>3</v>
      </c>
      <c r="I6" s="69"/>
      <c r="J6" s="50"/>
      <c r="K6" s="38"/>
      <c r="L6" s="38"/>
      <c r="M6" s="38"/>
    </row>
    <row r="7" spans="1:13" x14ac:dyDescent="0.25">
      <c r="A7" s="80"/>
      <c r="B7" s="39" t="s">
        <v>44</v>
      </c>
      <c r="C7" s="39">
        <v>4</v>
      </c>
      <c r="D7" s="71"/>
      <c r="E7" s="41"/>
      <c r="F7" s="75"/>
      <c r="G7" s="39">
        <v>6</v>
      </c>
      <c r="H7" s="39">
        <v>2</v>
      </c>
      <c r="I7" s="69"/>
      <c r="J7" s="38"/>
      <c r="K7" s="38"/>
      <c r="L7" s="38"/>
      <c r="M7" s="38"/>
    </row>
    <row r="8" spans="1:13" x14ac:dyDescent="0.25">
      <c r="A8" s="80"/>
      <c r="B8" s="39" t="s">
        <v>45</v>
      </c>
      <c r="C8" s="39">
        <v>5</v>
      </c>
      <c r="D8" s="71"/>
      <c r="E8" s="41"/>
      <c r="F8" s="76"/>
      <c r="G8" s="39" t="s">
        <v>46</v>
      </c>
      <c r="H8" s="39">
        <v>1</v>
      </c>
      <c r="I8" s="70"/>
      <c r="J8" s="38"/>
      <c r="K8" s="38"/>
      <c r="L8" s="38"/>
      <c r="M8" s="38"/>
    </row>
    <row r="9" spans="1:13" x14ac:dyDescent="0.25">
      <c r="A9" s="41"/>
      <c r="B9" s="41"/>
      <c r="C9" s="41"/>
      <c r="D9" s="41"/>
      <c r="E9" s="41"/>
      <c r="F9" s="41"/>
      <c r="G9" s="41"/>
      <c r="H9" s="41"/>
      <c r="I9" s="38"/>
      <c r="J9" s="38"/>
      <c r="K9" s="38"/>
      <c r="L9" s="38"/>
      <c r="M9" s="38"/>
    </row>
    <row r="10" spans="1:13" x14ac:dyDescent="0.25">
      <c r="A10" s="74" t="s">
        <v>47</v>
      </c>
      <c r="B10" s="39" t="s">
        <v>48</v>
      </c>
      <c r="C10" s="39" t="s">
        <v>22</v>
      </c>
      <c r="D10" s="39" t="s">
        <v>37</v>
      </c>
      <c r="E10" s="41"/>
      <c r="F10" s="74" t="s">
        <v>49</v>
      </c>
      <c r="G10" s="39" t="s">
        <v>39</v>
      </c>
      <c r="H10" s="39" t="s">
        <v>22</v>
      </c>
      <c r="I10" s="39" t="s">
        <v>37</v>
      </c>
      <c r="J10" s="38"/>
      <c r="K10" s="38"/>
      <c r="L10" s="38"/>
      <c r="M10" s="38"/>
    </row>
    <row r="11" spans="1:13" x14ac:dyDescent="0.25">
      <c r="A11" s="75"/>
      <c r="B11" s="39">
        <v>26</v>
      </c>
      <c r="C11" s="39">
        <v>5</v>
      </c>
      <c r="D11" s="68">
        <v>0.25</v>
      </c>
      <c r="E11" s="41"/>
      <c r="F11" s="75"/>
      <c r="G11" s="39" t="s">
        <v>41</v>
      </c>
      <c r="H11" s="39">
        <v>5</v>
      </c>
      <c r="I11" s="68">
        <v>0.1</v>
      </c>
      <c r="J11" s="38"/>
      <c r="K11" s="38"/>
      <c r="L11" s="38"/>
      <c r="M11" s="38"/>
    </row>
    <row r="12" spans="1:13" x14ac:dyDescent="0.25">
      <c r="A12" s="75"/>
      <c r="B12" s="44" t="s">
        <v>50</v>
      </c>
      <c r="C12" s="39">
        <v>4</v>
      </c>
      <c r="D12" s="69"/>
      <c r="E12" s="49"/>
      <c r="F12" s="75"/>
      <c r="G12" s="39">
        <v>4</v>
      </c>
      <c r="H12" s="39">
        <v>4</v>
      </c>
      <c r="I12" s="69"/>
      <c r="J12" s="38"/>
      <c r="K12" s="38"/>
      <c r="L12" s="38"/>
      <c r="M12" s="38"/>
    </row>
    <row r="13" spans="1:13" x14ac:dyDescent="0.25">
      <c r="A13" s="75"/>
      <c r="B13" s="39" t="s">
        <v>51</v>
      </c>
      <c r="C13" s="39">
        <v>3</v>
      </c>
      <c r="D13" s="69"/>
      <c r="E13" s="49"/>
      <c r="F13" s="75"/>
      <c r="G13" s="39">
        <v>5</v>
      </c>
      <c r="H13" s="39">
        <v>3</v>
      </c>
      <c r="I13" s="69"/>
      <c r="J13" s="47"/>
      <c r="K13" s="38"/>
      <c r="L13" s="38"/>
      <c r="M13" s="38"/>
    </row>
    <row r="14" spans="1:13" x14ac:dyDescent="0.25">
      <c r="A14" s="75"/>
      <c r="B14" s="39">
        <v>21</v>
      </c>
      <c r="C14" s="39">
        <v>2</v>
      </c>
      <c r="D14" s="69"/>
      <c r="E14" s="41"/>
      <c r="F14" s="75"/>
      <c r="G14" s="39">
        <v>6</v>
      </c>
      <c r="H14" s="39">
        <v>2</v>
      </c>
      <c r="I14" s="69"/>
      <c r="J14" s="49"/>
      <c r="K14" s="38"/>
      <c r="L14" s="38"/>
      <c r="M14" s="38"/>
    </row>
    <row r="15" spans="1:13" x14ac:dyDescent="0.25">
      <c r="A15" s="76"/>
      <c r="B15" s="39">
        <v>20</v>
      </c>
      <c r="C15" s="39">
        <v>1</v>
      </c>
      <c r="D15" s="70"/>
      <c r="E15" s="41"/>
      <c r="F15" s="76"/>
      <c r="G15" s="39" t="s">
        <v>46</v>
      </c>
      <c r="H15" s="39">
        <v>1</v>
      </c>
      <c r="I15" s="70"/>
      <c r="J15" s="38"/>
      <c r="K15" s="38"/>
      <c r="L15" s="38"/>
      <c r="M15" s="38"/>
    </row>
    <row r="16" spans="1:13" x14ac:dyDescent="0.25">
      <c r="A16" s="41"/>
      <c r="B16" s="41"/>
      <c r="C16" s="41"/>
      <c r="D16" s="41"/>
      <c r="E16" s="41"/>
      <c r="F16" s="38"/>
      <c r="G16" s="38"/>
      <c r="H16" s="38"/>
      <c r="I16" s="38"/>
      <c r="J16" s="38"/>
      <c r="K16" s="46"/>
      <c r="L16" s="38"/>
      <c r="M16" s="38"/>
    </row>
    <row r="17" spans="1:11" x14ac:dyDescent="0.25">
      <c r="A17" s="41"/>
      <c r="B17" s="41"/>
      <c r="C17" s="41"/>
      <c r="D17" s="41"/>
      <c r="E17" s="41"/>
      <c r="F17" s="38"/>
      <c r="G17" s="38"/>
      <c r="H17" s="38"/>
      <c r="I17" s="38"/>
      <c r="J17" s="38"/>
      <c r="K17" s="45"/>
    </row>
    <row r="18" spans="1:11" x14ac:dyDescent="0.25">
      <c r="A18" s="74" t="s">
        <v>52</v>
      </c>
      <c r="B18" s="39" t="s">
        <v>39</v>
      </c>
      <c r="C18" s="39" t="s">
        <v>22</v>
      </c>
      <c r="D18" s="39" t="s">
        <v>37</v>
      </c>
      <c r="E18" s="41"/>
      <c r="F18" s="73" t="s">
        <v>53</v>
      </c>
      <c r="G18" s="73"/>
      <c r="H18" s="38"/>
      <c r="I18" s="38"/>
      <c r="J18" s="38"/>
      <c r="K18" s="45"/>
    </row>
    <row r="19" spans="1:11" x14ac:dyDescent="0.25">
      <c r="A19" s="75"/>
      <c r="B19" s="39" t="s">
        <v>54</v>
      </c>
      <c r="C19" s="39">
        <v>5</v>
      </c>
      <c r="D19" s="71">
        <v>0.25</v>
      </c>
      <c r="E19" s="41"/>
      <c r="F19" s="40" t="s">
        <v>55</v>
      </c>
      <c r="G19" s="51">
        <v>5000</v>
      </c>
      <c r="H19" s="38"/>
      <c r="I19" s="38"/>
      <c r="J19" s="38"/>
      <c r="K19" s="45"/>
    </row>
    <row r="20" spans="1:11" x14ac:dyDescent="0.25">
      <c r="A20" s="75"/>
      <c r="B20" s="39" t="s">
        <v>56</v>
      </c>
      <c r="C20" s="39">
        <v>4</v>
      </c>
      <c r="D20" s="72"/>
      <c r="E20" s="41"/>
      <c r="F20" s="40" t="s">
        <v>57</v>
      </c>
      <c r="G20" s="51">
        <v>5000</v>
      </c>
      <c r="H20" s="38"/>
      <c r="I20" s="38"/>
      <c r="J20" s="38"/>
      <c r="K20" s="45"/>
    </row>
    <row r="21" spans="1:11" x14ac:dyDescent="0.25">
      <c r="A21" s="75"/>
      <c r="B21" s="39">
        <v>25</v>
      </c>
      <c r="C21" s="39">
        <v>3</v>
      </c>
      <c r="D21" s="72"/>
      <c r="E21" s="48"/>
      <c r="F21" s="40" t="s">
        <v>38</v>
      </c>
      <c r="G21" s="51">
        <v>25000</v>
      </c>
      <c r="H21" s="38"/>
      <c r="I21" s="38"/>
      <c r="J21" s="38"/>
      <c r="K21" s="38"/>
    </row>
    <row r="22" spans="1:11" x14ac:dyDescent="0.25">
      <c r="A22" s="75"/>
      <c r="B22" s="39" t="s">
        <v>58</v>
      </c>
      <c r="C22" s="39">
        <v>2</v>
      </c>
      <c r="D22" s="72"/>
      <c r="E22" s="38"/>
      <c r="F22" s="40" t="s">
        <v>49</v>
      </c>
      <c r="G22" s="51">
        <v>10000</v>
      </c>
      <c r="H22" s="38"/>
      <c r="I22" s="38"/>
      <c r="J22" s="38"/>
      <c r="K22" s="38"/>
    </row>
    <row r="23" spans="1:11" x14ac:dyDescent="0.25">
      <c r="A23" s="76"/>
      <c r="B23" s="39" t="s">
        <v>59</v>
      </c>
      <c r="C23" s="39">
        <v>1</v>
      </c>
      <c r="D23" s="72"/>
      <c r="E23" s="38"/>
      <c r="F23" s="38"/>
      <c r="G23" s="38"/>
      <c r="H23" s="38"/>
      <c r="I23" s="38"/>
      <c r="J23" s="38"/>
      <c r="K23" s="38"/>
    </row>
    <row r="27" spans="1:11" x14ac:dyDescent="0.25">
      <c r="A27" s="38"/>
      <c r="B27" s="38"/>
      <c r="C27" s="38"/>
      <c r="D27" s="38"/>
      <c r="E27" s="38"/>
      <c r="F27" s="48">
        <v>1</v>
      </c>
      <c r="G27" s="38"/>
      <c r="H27" s="48" t="e">
        <v>#REF!</v>
      </c>
      <c r="I27" s="38"/>
      <c r="J27" s="38"/>
      <c r="K27" s="38"/>
    </row>
    <row r="31" spans="1:11" x14ac:dyDescent="0.25">
      <c r="A31" s="38"/>
      <c r="B31" s="38"/>
      <c r="C31" s="38"/>
      <c r="D31" s="77" t="s">
        <v>28</v>
      </c>
      <c r="E31" s="78"/>
      <c r="F31" s="79"/>
      <c r="G31" s="38"/>
      <c r="H31" s="38"/>
      <c r="I31" s="38"/>
      <c r="J31" s="38"/>
      <c r="K31" s="38"/>
    </row>
    <row r="32" spans="1:11" x14ac:dyDescent="0.25">
      <c r="A32" s="38"/>
      <c r="B32" s="38"/>
      <c r="C32" s="38"/>
      <c r="D32" s="42" t="s">
        <v>29</v>
      </c>
      <c r="E32" s="40" t="s">
        <v>30</v>
      </c>
      <c r="F32" s="40">
        <v>150000</v>
      </c>
      <c r="G32" s="38"/>
      <c r="H32" s="38"/>
      <c r="I32" s="38"/>
      <c r="J32" s="38"/>
      <c r="K32" s="38"/>
    </row>
    <row r="33" spans="4:6" x14ac:dyDescent="0.25">
      <c r="D33" s="43" t="s">
        <v>31</v>
      </c>
      <c r="E33" s="40" t="s">
        <v>30</v>
      </c>
      <c r="F33" s="40">
        <v>250000</v>
      </c>
    </row>
    <row r="34" spans="4:6" x14ac:dyDescent="0.25">
      <c r="D34" s="43" t="s">
        <v>32</v>
      </c>
      <c r="E34" s="40" t="s">
        <v>30</v>
      </c>
      <c r="F34" s="40">
        <v>400000</v>
      </c>
    </row>
    <row r="35" spans="4:6" x14ac:dyDescent="0.25">
      <c r="D35" s="40" t="s">
        <v>33</v>
      </c>
      <c r="E35" s="40" t="s">
        <v>30</v>
      </c>
      <c r="F35" s="40">
        <v>500000</v>
      </c>
    </row>
  </sheetData>
  <mergeCells count="12">
    <mergeCell ref="D31:F31"/>
    <mergeCell ref="A3:A8"/>
    <mergeCell ref="F3:F8"/>
    <mergeCell ref="F10:F15"/>
    <mergeCell ref="D4:D8"/>
    <mergeCell ref="D11:D15"/>
    <mergeCell ref="A10:A15"/>
    <mergeCell ref="I4:I8"/>
    <mergeCell ref="I11:I15"/>
    <mergeCell ref="D19:D23"/>
    <mergeCell ref="F18:G18"/>
    <mergeCell ref="A18:A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1C53-87C3-4CE2-B3F2-C3E2A814A35C}">
  <dimension ref="A1:AB34"/>
  <sheetViews>
    <sheetView tabSelected="1" workbookViewId="0">
      <selection activeCell="A10" sqref="A10:AB10"/>
    </sheetView>
  </sheetViews>
  <sheetFormatPr defaultRowHeight="15" x14ac:dyDescent="0.25"/>
  <cols>
    <col min="2" max="2" width="15.85546875" customWidth="1"/>
    <col min="3" max="3" width="14.85546875" customWidth="1"/>
    <col min="4" max="4" width="14.7109375" customWidth="1"/>
    <col min="5" max="5" width="12.28515625" customWidth="1"/>
    <col min="18" max="18" width="11.28515625" bestFit="1" customWidth="1"/>
    <col min="27" max="27" width="10.5703125" bestFit="1" customWidth="1"/>
    <col min="28" max="28" width="11.5703125" bestFit="1" customWidth="1"/>
  </cols>
  <sheetData>
    <row r="1" spans="1:28" ht="18.75" x14ac:dyDescent="0.3">
      <c r="A1" s="4" t="s">
        <v>0</v>
      </c>
      <c r="B1" s="1"/>
      <c r="C1" s="1"/>
      <c r="D1" s="1"/>
      <c r="E1" s="1"/>
      <c r="F1" s="1"/>
      <c r="G1" s="1" t="s">
        <v>1</v>
      </c>
      <c r="H1" s="8" t="s">
        <v>2</v>
      </c>
      <c r="I1" s="1" t="s">
        <v>3</v>
      </c>
      <c r="J1" s="1"/>
      <c r="K1" s="1"/>
      <c r="L1" s="1"/>
      <c r="M1" s="1"/>
      <c r="N1" s="1" t="s">
        <v>4</v>
      </c>
      <c r="O1" s="1"/>
      <c r="P1" s="1"/>
      <c r="Q1" s="1"/>
      <c r="R1" s="1"/>
      <c r="AB1" s="38"/>
    </row>
    <row r="2" spans="1:28" ht="18.75" x14ac:dyDescent="0.3">
      <c r="A2" s="4" t="s">
        <v>5</v>
      </c>
      <c r="B2" s="1"/>
      <c r="C2" s="1"/>
      <c r="D2" s="1"/>
      <c r="E2" s="1"/>
      <c r="F2" s="1"/>
      <c r="G2" s="1"/>
      <c r="H2" s="6"/>
      <c r="I2" s="7" t="s">
        <v>6</v>
      </c>
      <c r="J2" s="1"/>
      <c r="K2" s="1"/>
      <c r="L2" s="1"/>
      <c r="M2" s="1"/>
      <c r="N2" s="1"/>
      <c r="O2" s="1"/>
      <c r="P2" s="1"/>
      <c r="Q2" s="1"/>
      <c r="R2" s="1"/>
      <c r="AB2" s="38"/>
    </row>
    <row r="3" spans="1:28" ht="18.75" x14ac:dyDescent="0.3">
      <c r="A3" s="4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28" ht="18.75" x14ac:dyDescent="0.3">
      <c r="A4" s="5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94"/>
      <c r="N4" s="94"/>
      <c r="O4" s="1"/>
      <c r="P4" s="1"/>
      <c r="Q4" s="1"/>
      <c r="R4" s="1"/>
      <c r="S4" s="38"/>
      <c r="T4" s="38"/>
      <c r="U4" s="38"/>
      <c r="V4" s="38"/>
      <c r="W4" s="38"/>
      <c r="X4" s="38"/>
      <c r="Y4" s="94"/>
      <c r="Z4" s="94"/>
      <c r="AA4" s="38"/>
      <c r="AB4" s="38"/>
    </row>
    <row r="5" spans="1:28" ht="18.75" x14ac:dyDescent="0.3">
      <c r="A5" s="5"/>
      <c r="B5" s="1"/>
      <c r="C5" s="1"/>
      <c r="D5" s="1"/>
      <c r="E5" s="1"/>
      <c r="F5" s="1"/>
      <c r="G5" s="1"/>
      <c r="H5" s="1">
        <v>25</v>
      </c>
      <c r="I5" s="1"/>
      <c r="J5" s="1">
        <v>15</v>
      </c>
      <c r="K5" s="1"/>
      <c r="L5" s="1">
        <v>10</v>
      </c>
      <c r="M5" s="1"/>
      <c r="N5" s="1">
        <v>25</v>
      </c>
      <c r="O5" s="1"/>
      <c r="P5" s="1">
        <v>25</v>
      </c>
      <c r="Q5" s="1"/>
      <c r="R5" s="1">
        <v>100</v>
      </c>
      <c r="S5" s="38"/>
      <c r="T5" s="38">
        <v>25</v>
      </c>
      <c r="U5" s="38"/>
      <c r="V5" s="38">
        <v>15</v>
      </c>
      <c r="W5" s="38"/>
      <c r="X5" s="38">
        <v>10</v>
      </c>
      <c r="Y5" s="38"/>
      <c r="Z5" s="38">
        <v>25</v>
      </c>
      <c r="AA5" s="38"/>
      <c r="AB5" s="38"/>
    </row>
    <row r="6" spans="1:28" ht="15" customHeight="1" x14ac:dyDescent="0.25">
      <c r="A6" s="84" t="s">
        <v>9</v>
      </c>
      <c r="B6" s="84" t="s">
        <v>10</v>
      </c>
      <c r="C6" s="84" t="s">
        <v>11</v>
      </c>
      <c r="D6" s="87" t="s">
        <v>12</v>
      </c>
      <c r="E6" s="84" t="s">
        <v>13</v>
      </c>
      <c r="F6" s="84" t="s">
        <v>14</v>
      </c>
      <c r="G6" s="88" t="s">
        <v>61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89"/>
      <c r="S6" s="88" t="s">
        <v>62</v>
      </c>
      <c r="T6" s="92"/>
      <c r="U6" s="92"/>
      <c r="V6" s="92"/>
      <c r="W6" s="92"/>
      <c r="X6" s="92"/>
      <c r="Y6" s="92"/>
      <c r="Z6" s="92"/>
      <c r="AA6" s="89"/>
      <c r="AB6" s="93" t="s">
        <v>66</v>
      </c>
    </row>
    <row r="7" spans="1:28" ht="15" customHeight="1" x14ac:dyDescent="0.25">
      <c r="A7" s="85"/>
      <c r="B7" s="85"/>
      <c r="C7" s="85"/>
      <c r="D7" s="87"/>
      <c r="E7" s="85"/>
      <c r="F7" s="85"/>
      <c r="G7" s="88" t="s">
        <v>15</v>
      </c>
      <c r="H7" s="89"/>
      <c r="I7" s="88" t="s">
        <v>16</v>
      </c>
      <c r="J7" s="89"/>
      <c r="K7" s="88" t="s">
        <v>17</v>
      </c>
      <c r="L7" s="89"/>
      <c r="M7" s="88" t="s">
        <v>18</v>
      </c>
      <c r="N7" s="89"/>
      <c r="O7" s="88" t="s">
        <v>19</v>
      </c>
      <c r="P7" s="89"/>
      <c r="Q7" s="90" t="s">
        <v>20</v>
      </c>
      <c r="R7" s="61" t="s">
        <v>60</v>
      </c>
      <c r="S7" s="88" t="s">
        <v>15</v>
      </c>
      <c r="T7" s="89"/>
      <c r="U7" s="88" t="s">
        <v>16</v>
      </c>
      <c r="V7" s="89"/>
      <c r="W7" s="88" t="s">
        <v>17</v>
      </c>
      <c r="X7" s="89"/>
      <c r="Y7" s="88" t="s">
        <v>18</v>
      </c>
      <c r="Z7" s="89"/>
      <c r="AA7" s="90" t="s">
        <v>65</v>
      </c>
      <c r="AB7" s="93"/>
    </row>
    <row r="8" spans="1:28" x14ac:dyDescent="0.25">
      <c r="A8" s="86"/>
      <c r="B8" s="86"/>
      <c r="C8" s="86"/>
      <c r="D8" s="87"/>
      <c r="E8" s="86"/>
      <c r="F8" s="86"/>
      <c r="G8" s="20" t="s">
        <v>21</v>
      </c>
      <c r="H8" s="2" t="s">
        <v>22</v>
      </c>
      <c r="I8" s="20" t="s">
        <v>21</v>
      </c>
      <c r="J8" s="3" t="s">
        <v>22</v>
      </c>
      <c r="K8" s="20" t="s">
        <v>21</v>
      </c>
      <c r="L8" s="2" t="s">
        <v>22</v>
      </c>
      <c r="M8" s="20" t="s">
        <v>21</v>
      </c>
      <c r="N8" s="2" t="s">
        <v>22</v>
      </c>
      <c r="O8" s="20" t="s">
        <v>21</v>
      </c>
      <c r="P8" s="3" t="s">
        <v>22</v>
      </c>
      <c r="Q8" s="91"/>
      <c r="R8" s="61"/>
      <c r="S8" s="20" t="s">
        <v>63</v>
      </c>
      <c r="T8" s="2" t="s">
        <v>64</v>
      </c>
      <c r="U8" s="20" t="s">
        <v>63</v>
      </c>
      <c r="V8" s="2" t="s">
        <v>64</v>
      </c>
      <c r="W8" s="20" t="s">
        <v>63</v>
      </c>
      <c r="X8" s="2" t="s">
        <v>64</v>
      </c>
      <c r="Y8" s="20" t="s">
        <v>63</v>
      </c>
      <c r="Z8" s="2" t="s">
        <v>64</v>
      </c>
      <c r="AA8" s="91"/>
      <c r="AB8" s="93"/>
    </row>
    <row r="9" spans="1:28" x14ac:dyDescent="0.25">
      <c r="A9" s="23"/>
      <c r="B9" s="17"/>
      <c r="C9" s="21"/>
      <c r="D9" s="25"/>
      <c r="E9" s="25"/>
      <c r="F9" s="36"/>
      <c r="G9" s="53"/>
      <c r="H9" s="54">
        <f t="shared" ref="H9:H11" si="0">(IF(G9&gt;=1180,"5",IF(G9&gt;=980,"4",IF(G9&gt;=780,"3",IF(G9&gt;=580,"2",IF(G9&gt;=380,"1",IF(G9&lt;379,"0")))))))*25%</f>
        <v>0</v>
      </c>
      <c r="I9" s="53"/>
      <c r="J9" s="54">
        <f t="shared" ref="J9:J11" si="1">(IF(I9=0,"0",IF(I9&lt;=3,"5",IF(I9=4,"4",IF(I9=5,"3",IF(I9=6,"2",IF(I9&gt;=7,"1")))))))*15%</f>
        <v>0</v>
      </c>
      <c r="K9" s="53"/>
      <c r="L9" s="54">
        <f t="shared" ref="L9:L11" si="2">(IF(K9=0,"0",IF(K9&lt;=3,"5",IF(K9=4,"4",IF(K9=5,"3",IF(K9=6,"2",IF(K9&gt;=7,"1")))))))*10%</f>
        <v>0</v>
      </c>
      <c r="M9" s="53"/>
      <c r="N9" s="54">
        <f t="shared" ref="N9:N11" si="3">(IF(M9=0,"0",IF(M9&gt;=26,"5",IF(M9&gt;=24,"4",IF(M9&gt;21,"3",IF(M9=21,"2",IF(M9=20,"1")))))))*25%</f>
        <v>0</v>
      </c>
      <c r="O9" s="53"/>
      <c r="P9" s="54">
        <f t="shared" ref="P9:P11" si="4">(IF(O9=0,"0",IF(O9&lt;=18,"5",IF(O9=19,"4",IF(O9=20,"3",IF(O9=21,"2",IF(O9&gt;=22,"1")))))))*25%</f>
        <v>0</v>
      </c>
      <c r="Q9" s="55">
        <f t="shared" ref="Q9:Q11" si="5">(H9+J9+L9+N9+P9)</f>
        <v>0</v>
      </c>
      <c r="R9" s="56">
        <f>(IF(F9&lt;=10,"150000",IF(F9&lt;=15,"250000",IF(F9&lt;=20,"400000",IF(F9&gt;=21,"500000")))))*(Q9*20%)</f>
        <v>0</v>
      </c>
      <c r="S9" s="53"/>
      <c r="T9" s="67">
        <f>S9*5000</f>
        <v>0</v>
      </c>
      <c r="U9" s="53"/>
      <c r="V9" s="67">
        <f>U9*25000</f>
        <v>0</v>
      </c>
      <c r="W9" s="53"/>
      <c r="X9" s="67">
        <f>W9*10000</f>
        <v>0</v>
      </c>
      <c r="Y9" s="53"/>
      <c r="Z9" s="67">
        <f>Y9*5000</f>
        <v>0</v>
      </c>
      <c r="AA9" s="64">
        <f>T9+V9+X9+Z9</f>
        <v>0</v>
      </c>
      <c r="AB9" s="64">
        <f>R9-AA9</f>
        <v>0</v>
      </c>
    </row>
    <row r="10" spans="1:28" x14ac:dyDescent="0.25">
      <c r="A10" s="24"/>
      <c r="B10" s="17"/>
      <c r="C10" s="21"/>
      <c r="D10" s="60"/>
      <c r="E10" s="34"/>
      <c r="F10" s="22"/>
      <c r="G10" s="53"/>
      <c r="H10" s="54">
        <f t="shared" ref="H10" si="6">(IF(G10&gt;=1180,"5",IF(G10&gt;=980,"4",IF(G10&gt;=780,"3",IF(G10&gt;=580,"2",IF(G10&gt;=380,"1",IF(G10&lt;379,"0")))))))*25%</f>
        <v>0</v>
      </c>
      <c r="I10" s="53"/>
      <c r="J10" s="57">
        <f t="shared" ref="J10" si="7">(IF(I10=0,"0",IF(I10&lt;=3,"5",IF(I10=4,"4",IF(I10=5,"3",IF(I10=6,"2",IF(I10&gt;=7,"1")))))))*15%</f>
        <v>0</v>
      </c>
      <c r="K10" s="53"/>
      <c r="L10" s="57">
        <f t="shared" ref="L10" si="8">(IF(K10=0,"0",IF(K10&lt;=3,"5",IF(K10=4,"4",IF(K10=5,"3",IF(K10=6,"2",IF(K10&gt;=7,"1")))))))*10%</f>
        <v>0</v>
      </c>
      <c r="M10" s="53"/>
      <c r="N10" s="57">
        <f t="shared" ref="N10" si="9">(IF(M10=0,"0",IF(M10&gt;=26,"5",IF(M10&gt;=24,"4",IF(M10&gt;21,"3",IF(M10=21,"2",IF(M10=20,"1")))))))*25%</f>
        <v>0</v>
      </c>
      <c r="O10" s="53"/>
      <c r="P10" s="57">
        <f t="shared" ref="P10" si="10">(IF(O10=0,"0",IF(O10&lt;=18,"5",IF(O10=19,"4",IF(O10=20,"3",IF(O10=21,"2",IF(O10&gt;=22,"1")))))))*25%</f>
        <v>0</v>
      </c>
      <c r="Q10" s="58">
        <f t="shared" ref="Q10" si="11">(H10+J10+L10+N10+P10)</f>
        <v>0</v>
      </c>
      <c r="R10" s="59">
        <f>300000*(Q10*20%)</f>
        <v>0</v>
      </c>
      <c r="S10" s="53"/>
      <c r="T10" s="67">
        <f>S10*5000</f>
        <v>0</v>
      </c>
      <c r="U10" s="53"/>
      <c r="V10" s="67">
        <f>U10*25000</f>
        <v>0</v>
      </c>
      <c r="W10" s="53"/>
      <c r="X10" s="67">
        <f>W10*10000</f>
        <v>0</v>
      </c>
      <c r="Y10" s="53"/>
      <c r="Z10" s="67">
        <f>Y10*5000</f>
        <v>0</v>
      </c>
      <c r="AA10" s="64">
        <f>T10+V10+X10+Z10</f>
        <v>0</v>
      </c>
      <c r="AB10" s="64">
        <f>R10-AA10</f>
        <v>0</v>
      </c>
    </row>
    <row r="11" spans="1:28" x14ac:dyDescent="0.25">
      <c r="A11" s="24"/>
      <c r="B11" s="17"/>
      <c r="C11" s="21"/>
      <c r="D11" s="60"/>
      <c r="E11" s="34"/>
      <c r="F11" s="22"/>
      <c r="G11" s="53"/>
      <c r="H11" s="54">
        <f t="shared" si="0"/>
        <v>0</v>
      </c>
      <c r="I11" s="53"/>
      <c r="J11" s="57">
        <f t="shared" si="1"/>
        <v>0</v>
      </c>
      <c r="K11" s="53"/>
      <c r="L11" s="57">
        <f t="shared" si="2"/>
        <v>0</v>
      </c>
      <c r="M11" s="53"/>
      <c r="N11" s="57">
        <f t="shared" si="3"/>
        <v>0</v>
      </c>
      <c r="O11" s="53"/>
      <c r="P11" s="57">
        <f t="shared" si="4"/>
        <v>0</v>
      </c>
      <c r="Q11" s="58">
        <f t="shared" si="5"/>
        <v>0</v>
      </c>
      <c r="R11" s="59">
        <f>300000*(Q11*20%)</f>
        <v>0</v>
      </c>
      <c r="S11" s="53"/>
      <c r="T11" s="67">
        <f>S11*5000</f>
        <v>0</v>
      </c>
      <c r="U11" s="53"/>
      <c r="V11" s="67">
        <f>U11*25000</f>
        <v>0</v>
      </c>
      <c r="W11" s="53"/>
      <c r="X11" s="67">
        <f>W11*10000</f>
        <v>0</v>
      </c>
      <c r="Y11" s="53"/>
      <c r="Z11" s="67">
        <f>Y11*5000</f>
        <v>0</v>
      </c>
      <c r="AA11" s="64">
        <f>T11+V11+X11+Z11</f>
        <v>0</v>
      </c>
      <c r="AB11" s="64">
        <f>R11-AA11</f>
        <v>0</v>
      </c>
    </row>
    <row r="12" spans="1:28" x14ac:dyDescent="0.25">
      <c r="A12" s="26"/>
      <c r="B12" s="28"/>
      <c r="C12" s="29"/>
      <c r="D12" s="30"/>
      <c r="E12" s="31"/>
      <c r="F12" s="27"/>
      <c r="G12" s="27"/>
      <c r="H12" s="18">
        <v>0</v>
      </c>
      <c r="I12" s="27"/>
      <c r="J12" s="32"/>
      <c r="K12" s="27"/>
      <c r="L12" s="32"/>
      <c r="M12" s="27"/>
      <c r="N12" s="32"/>
      <c r="O12" s="27"/>
      <c r="P12" s="32"/>
      <c r="Q12" s="33"/>
      <c r="R12" s="19"/>
      <c r="S12" s="27"/>
      <c r="T12" s="18"/>
      <c r="U12" s="27"/>
      <c r="V12" s="32"/>
      <c r="W12" s="27"/>
      <c r="X12" s="32"/>
      <c r="Y12" s="27"/>
      <c r="Z12" s="32"/>
      <c r="AA12" s="65"/>
      <c r="AB12" s="65"/>
    </row>
    <row r="13" spans="1:28" x14ac:dyDescent="0.25">
      <c r="A13" s="81" t="s">
        <v>23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37">
        <f>SUM(R9:R12)</f>
        <v>0</v>
      </c>
      <c r="S13" s="62"/>
      <c r="T13" s="62"/>
      <c r="U13" s="63"/>
      <c r="V13" s="63"/>
      <c r="W13" s="63"/>
      <c r="X13" s="63"/>
      <c r="Y13" s="63"/>
      <c r="Z13" s="63"/>
      <c r="AA13" s="66">
        <f>SUM(AA9:AA11)</f>
        <v>0</v>
      </c>
      <c r="AB13" s="66">
        <f>SUM(AB9:AB11)</f>
        <v>0</v>
      </c>
    </row>
    <row r="15" spans="1:28" ht="21" x14ac:dyDescent="0.35">
      <c r="A15" s="1"/>
      <c r="B15" s="1"/>
      <c r="C15" s="1"/>
      <c r="D15" s="9"/>
      <c r="E15" s="9"/>
      <c r="F15" s="9"/>
      <c r="G15" s="9"/>
      <c r="H15" s="9"/>
      <c r="I15" s="10" t="s">
        <v>24</v>
      </c>
      <c r="J15" s="11"/>
      <c r="K15" s="11"/>
      <c r="L15" s="11"/>
      <c r="M15" s="11"/>
      <c r="N15" s="11"/>
      <c r="O15" s="15" t="s">
        <v>25</v>
      </c>
      <c r="P15" s="1"/>
      <c r="Q15" s="12"/>
      <c r="R15" s="1"/>
      <c r="S15" s="9"/>
      <c r="T15" s="9"/>
      <c r="U15" s="10" t="s">
        <v>24</v>
      </c>
      <c r="V15" s="11"/>
      <c r="W15" s="11"/>
      <c r="X15" s="11"/>
      <c r="Y15" s="11"/>
      <c r="Z15" s="11"/>
      <c r="AA15" s="12"/>
      <c r="AB15" s="12"/>
    </row>
    <row r="16" spans="1:28" ht="21" x14ac:dyDescent="0.35">
      <c r="A16" s="1"/>
      <c r="B16" s="1"/>
      <c r="C16" s="1"/>
      <c r="D16" s="9"/>
      <c r="E16" s="9"/>
      <c r="F16" s="9"/>
      <c r="G16" s="9"/>
      <c r="H16" s="9"/>
      <c r="I16" s="10"/>
      <c r="J16" s="11"/>
      <c r="K16" s="11"/>
      <c r="L16" s="11"/>
      <c r="M16" s="11"/>
      <c r="N16" s="11"/>
      <c r="O16" s="15"/>
      <c r="P16" s="1"/>
      <c r="Q16" s="12"/>
      <c r="R16" s="1"/>
      <c r="S16" s="9"/>
      <c r="T16" s="9"/>
      <c r="U16" s="10"/>
      <c r="V16" s="11"/>
      <c r="W16" s="11"/>
      <c r="X16" s="11"/>
      <c r="Y16" s="11"/>
      <c r="Z16" s="11"/>
      <c r="AA16" s="12"/>
      <c r="AB16" s="12"/>
    </row>
    <row r="17" spans="1:28" ht="21" x14ac:dyDescent="0.35">
      <c r="A17" s="1"/>
      <c r="B17" s="1"/>
      <c r="C17" s="1"/>
      <c r="D17" s="9"/>
      <c r="E17" s="9"/>
      <c r="F17" s="9"/>
      <c r="G17" s="9"/>
      <c r="H17" s="9"/>
      <c r="I17" s="10"/>
      <c r="J17" s="11"/>
      <c r="K17" s="11"/>
      <c r="L17" s="11"/>
      <c r="M17" s="11"/>
      <c r="N17" s="11"/>
      <c r="O17" s="15"/>
      <c r="P17" s="1"/>
      <c r="Q17" s="12"/>
      <c r="R17" s="1"/>
      <c r="S17" s="9"/>
      <c r="T17" s="9"/>
      <c r="U17" s="10"/>
      <c r="V17" s="11"/>
      <c r="W17" s="11"/>
      <c r="X17" s="11"/>
      <c r="Y17" s="11"/>
      <c r="Z17" s="11"/>
      <c r="AA17" s="12"/>
      <c r="AB17" s="12"/>
    </row>
    <row r="18" spans="1:28" ht="21" x14ac:dyDescent="0.35">
      <c r="D18" s="9"/>
      <c r="E18" s="9"/>
      <c r="F18" s="16"/>
      <c r="G18" s="9"/>
      <c r="H18" s="9"/>
      <c r="I18" s="10"/>
      <c r="J18" s="11"/>
      <c r="K18" s="11"/>
      <c r="L18" s="11"/>
      <c r="M18" s="11"/>
      <c r="N18" s="11"/>
      <c r="O18" s="15"/>
      <c r="P18" s="1"/>
      <c r="Q18" s="12"/>
      <c r="S18" s="9"/>
      <c r="T18" s="9"/>
      <c r="U18" s="10"/>
      <c r="V18" s="11"/>
      <c r="W18" s="11"/>
      <c r="X18" s="11"/>
      <c r="Y18" s="11"/>
      <c r="Z18" s="11"/>
      <c r="AA18" s="12"/>
      <c r="AB18" s="12"/>
    </row>
    <row r="19" spans="1:28" ht="21" x14ac:dyDescent="0.35">
      <c r="D19" s="9"/>
      <c r="E19" s="9"/>
      <c r="F19" s="9"/>
      <c r="G19" s="9"/>
      <c r="H19" s="9"/>
      <c r="I19" s="10"/>
      <c r="J19" s="11"/>
      <c r="K19" s="11"/>
      <c r="L19" s="11"/>
      <c r="M19" s="11"/>
      <c r="N19" s="11"/>
      <c r="O19" s="15"/>
      <c r="P19" s="1"/>
      <c r="Q19" s="12"/>
      <c r="S19" s="9"/>
      <c r="T19" s="9"/>
      <c r="U19" s="10"/>
      <c r="V19" s="11"/>
      <c r="W19" s="11"/>
      <c r="X19" s="11"/>
      <c r="Y19" s="11"/>
      <c r="Z19" s="11"/>
      <c r="AA19" s="12"/>
      <c r="AB19" s="12"/>
    </row>
    <row r="20" spans="1:28" ht="21" x14ac:dyDescent="0.35">
      <c r="D20" s="9"/>
      <c r="E20" s="9"/>
      <c r="F20" s="9"/>
      <c r="G20" s="9"/>
      <c r="H20" s="9"/>
      <c r="I20" s="10"/>
      <c r="J20" s="11"/>
      <c r="K20" s="11"/>
      <c r="L20" s="11"/>
      <c r="M20" s="11"/>
      <c r="N20" s="11"/>
      <c r="O20" s="15"/>
      <c r="P20" s="1"/>
      <c r="Q20" s="12"/>
      <c r="S20" s="9"/>
      <c r="T20" s="9"/>
      <c r="U20" s="10"/>
      <c r="V20" s="11"/>
      <c r="W20" s="11"/>
      <c r="X20" s="11"/>
      <c r="Y20" s="11"/>
      <c r="Z20" s="11"/>
      <c r="AA20" s="12"/>
      <c r="AB20" s="12"/>
    </row>
    <row r="21" spans="1:28" ht="21" x14ac:dyDescent="0.35">
      <c r="D21" s="9"/>
      <c r="E21" s="9"/>
      <c r="F21" s="9"/>
      <c r="G21" s="9"/>
      <c r="H21" s="9"/>
      <c r="I21" s="10" t="s">
        <v>26</v>
      </c>
      <c r="J21" s="11"/>
      <c r="K21" s="11"/>
      <c r="L21" s="11"/>
      <c r="M21" s="11"/>
      <c r="N21" s="11"/>
      <c r="O21" s="15" t="s">
        <v>27</v>
      </c>
      <c r="P21" s="1"/>
      <c r="Q21" s="12"/>
      <c r="S21" s="9"/>
      <c r="T21" s="9"/>
      <c r="U21" s="10" t="s">
        <v>26</v>
      </c>
      <c r="V21" s="11"/>
      <c r="W21" s="11"/>
      <c r="X21" s="11"/>
      <c r="Y21" s="11"/>
      <c r="Z21" s="11"/>
      <c r="AA21" s="12"/>
      <c r="AB21" s="12"/>
    </row>
    <row r="22" spans="1:28" x14ac:dyDescent="0.25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2"/>
      <c r="S22" s="38"/>
      <c r="T22" s="38"/>
      <c r="U22" s="38"/>
      <c r="V22" s="38"/>
      <c r="W22" s="38"/>
      <c r="X22" s="38"/>
      <c r="Y22" s="38"/>
      <c r="Z22" s="38"/>
      <c r="AA22" s="12"/>
      <c r="AB22" s="12"/>
    </row>
    <row r="23" spans="1:28" x14ac:dyDescent="0.2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1:28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1:28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1:28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1:28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30" spans="1:28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77" t="s">
        <v>28</v>
      </c>
      <c r="P30" s="78"/>
      <c r="Q30" s="79"/>
      <c r="S30" s="38"/>
      <c r="T30" s="38"/>
      <c r="U30" s="38"/>
      <c r="V30" s="38"/>
      <c r="W30" s="38"/>
      <c r="X30" s="38"/>
      <c r="Y30" s="38"/>
      <c r="Z30" s="38"/>
    </row>
    <row r="31" spans="1:28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3" t="s">
        <v>29</v>
      </c>
      <c r="P31" s="35" t="s">
        <v>30</v>
      </c>
      <c r="Q31" s="35">
        <v>150000</v>
      </c>
      <c r="S31" s="38"/>
      <c r="T31" s="38"/>
      <c r="U31" s="38"/>
      <c r="V31" s="38"/>
      <c r="W31" s="38"/>
      <c r="X31" s="38"/>
      <c r="Y31" s="38"/>
      <c r="Z31" s="38"/>
    </row>
    <row r="32" spans="1:28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4" t="s">
        <v>31</v>
      </c>
      <c r="P32" s="35" t="s">
        <v>30</v>
      </c>
      <c r="Q32" s="35">
        <v>250000</v>
      </c>
      <c r="S32" s="38"/>
      <c r="T32" s="38"/>
      <c r="U32" s="38"/>
      <c r="V32" s="38"/>
      <c r="W32" s="38"/>
      <c r="X32" s="38"/>
      <c r="Y32" s="38"/>
      <c r="Z32" s="38"/>
    </row>
    <row r="33" spans="4:26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4" t="s">
        <v>32</v>
      </c>
      <c r="P33" s="35" t="s">
        <v>30</v>
      </c>
      <c r="Q33" s="35">
        <v>400000</v>
      </c>
      <c r="S33" s="38"/>
      <c r="T33" s="38"/>
      <c r="U33" s="38"/>
      <c r="V33" s="38"/>
      <c r="W33" s="38"/>
      <c r="X33" s="38"/>
      <c r="Y33" s="38"/>
      <c r="Z33" s="38"/>
    </row>
    <row r="34" spans="4:26" x14ac:dyDescent="0.25">
      <c r="O34" s="35" t="s">
        <v>33</v>
      </c>
      <c r="P34" s="35" t="s">
        <v>30</v>
      </c>
      <c r="Q34" s="35">
        <v>500000</v>
      </c>
    </row>
  </sheetData>
  <mergeCells count="24">
    <mergeCell ref="M4:N4"/>
    <mergeCell ref="AB6:AB8"/>
    <mergeCell ref="Y4:Z4"/>
    <mergeCell ref="S6:AA6"/>
    <mergeCell ref="S7:T7"/>
    <mergeCell ref="U7:V7"/>
    <mergeCell ref="W7:X7"/>
    <mergeCell ref="Y7:Z7"/>
    <mergeCell ref="AA7:AA8"/>
    <mergeCell ref="O30:Q30"/>
    <mergeCell ref="A13:Q13"/>
    <mergeCell ref="B6:B8"/>
    <mergeCell ref="C6:C8"/>
    <mergeCell ref="D6:D8"/>
    <mergeCell ref="E6:E8"/>
    <mergeCell ref="F6:F8"/>
    <mergeCell ref="O7:P7"/>
    <mergeCell ref="Q7:Q8"/>
    <mergeCell ref="G7:H7"/>
    <mergeCell ref="I7:J7"/>
    <mergeCell ref="K7:L7"/>
    <mergeCell ref="M7:N7"/>
    <mergeCell ref="A6:A8"/>
    <mergeCell ref="G6:R6"/>
  </mergeCells>
  <conditionalFormatting sqref="AB9 AB11">
    <cfRule type="cellIs" dxfId="1" priority="2" operator="lessThan">
      <formula>0</formula>
    </cfRule>
  </conditionalFormatting>
  <conditionalFormatting sqref="AB10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</dc:creator>
  <cp:lastModifiedBy>Eduard</cp:lastModifiedBy>
  <dcterms:created xsi:type="dcterms:W3CDTF">2022-01-15T00:51:30Z</dcterms:created>
  <dcterms:modified xsi:type="dcterms:W3CDTF">2022-01-18T04:23:01Z</dcterms:modified>
</cp:coreProperties>
</file>