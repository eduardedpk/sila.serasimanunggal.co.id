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G IBU DEBBY" sheetId="2" r:id="rId1"/>
    <sheet name="Sheet1" sheetId="1" r:id="rId2"/>
  </sheets>
  <calcPr calcId="152511"/>
</workbook>
</file>

<file path=xl/calcChain.xml><?xml version="1.0" encoding="utf-8"?>
<calcChain xmlns="http://schemas.openxmlformats.org/spreadsheetml/2006/main">
  <c r="C14" i="2" l="1"/>
  <c r="C12" i="2"/>
  <c r="C11" i="2" l="1"/>
  <c r="C10" i="2"/>
  <c r="C9" i="2"/>
</calcChain>
</file>

<file path=xl/sharedStrings.xml><?xml version="1.0" encoding="utf-8"?>
<sst xmlns="http://schemas.openxmlformats.org/spreadsheetml/2006/main" count="111" uniqueCount="86">
  <si>
    <t>DATA SISWA PLAY GROUP</t>
  </si>
  <si>
    <t>TK KATOLIK MATER DEI PAMULANG</t>
  </si>
  <si>
    <t>TAHUN PELAJARAN 2021 - 2022</t>
  </si>
  <si>
    <t>NO.</t>
  </si>
  <si>
    <t>NAMA LENGKAP</t>
  </si>
  <si>
    <t>PANGG</t>
  </si>
  <si>
    <t>L / P</t>
  </si>
  <si>
    <t>AGAMA</t>
  </si>
  <si>
    <t>TEMPAT</t>
  </si>
  <si>
    <t>TANGGAL</t>
  </si>
  <si>
    <t>ALAMAT</t>
  </si>
  <si>
    <t>TELEPON</t>
  </si>
  <si>
    <t>NAMA</t>
  </si>
  <si>
    <t>PDDK</t>
  </si>
  <si>
    <t>PEKERJAAN</t>
  </si>
  <si>
    <t>NIK</t>
  </si>
  <si>
    <t>USSER</t>
  </si>
  <si>
    <t>PASSW</t>
  </si>
  <si>
    <t>LAHIR</t>
  </si>
  <si>
    <t>Ayah</t>
  </si>
  <si>
    <t>Bernadette Teresa Rania Orinanto</t>
  </si>
  <si>
    <t>Rania</t>
  </si>
  <si>
    <t>P</t>
  </si>
  <si>
    <t>Katolik</t>
  </si>
  <si>
    <t>Tangerang Selatan</t>
  </si>
  <si>
    <t>08 Januari 2018</t>
  </si>
  <si>
    <t>Cluster Grand Amity Blok C25/18 GardensAt Candi Sawangan</t>
  </si>
  <si>
    <t>085880806541</t>
  </si>
  <si>
    <t>Apeng Orinanto</t>
  </si>
  <si>
    <t>S 1</t>
  </si>
  <si>
    <t>Wiraswasta</t>
  </si>
  <si>
    <t>3674055510160001</t>
  </si>
  <si>
    <t>001</t>
  </si>
  <si>
    <t>20180405</t>
  </si>
  <si>
    <t>2021</t>
  </si>
  <si>
    <t>Callysta felicia Aveline</t>
  </si>
  <si>
    <t>Callysta</t>
  </si>
  <si>
    <t>05 April 2018</t>
  </si>
  <si>
    <t>Pamulang Permai I, Jl Anggur III Blok C No 20</t>
  </si>
  <si>
    <t>081364313097</t>
  </si>
  <si>
    <t>Ary Apriland</t>
  </si>
  <si>
    <t>S1</t>
  </si>
  <si>
    <t>Freelance</t>
  </si>
  <si>
    <t>3674064504180003</t>
  </si>
  <si>
    <t>Gerald Kastilani Yusman</t>
  </si>
  <si>
    <t>Gerald</t>
  </si>
  <si>
    <t>L</t>
  </si>
  <si>
    <t>13 Februari 2018</t>
  </si>
  <si>
    <t>Pamulang Gardena Kav 34 Pamulang</t>
  </si>
  <si>
    <t>081234860310</t>
  </si>
  <si>
    <t>DR Irvan Yusman</t>
  </si>
  <si>
    <t>Peg Swasta</t>
  </si>
  <si>
    <t>3174051302180004</t>
  </si>
  <si>
    <t>Leticia Nathania Sirait</t>
  </si>
  <si>
    <t>Leticia</t>
  </si>
  <si>
    <t>Kristen</t>
  </si>
  <si>
    <t>Medan</t>
  </si>
  <si>
    <t>16 Desember 2017</t>
  </si>
  <si>
    <t>Bukit Nusa Indah, Jl Meranti No 1055 Ciputat</t>
  </si>
  <si>
    <t>081210942955</t>
  </si>
  <si>
    <t>Ongta Gibson Quatro Sirait</t>
  </si>
  <si>
    <t>S2</t>
  </si>
  <si>
    <t>Doketr</t>
  </si>
  <si>
    <t>3275085612170001</t>
  </si>
  <si>
    <t>Margaretha Frietania Kinarian Putri</t>
  </si>
  <si>
    <t>Frietania</t>
  </si>
  <si>
    <t>Tangerang</t>
  </si>
  <si>
    <t>11 Januari 2018</t>
  </si>
  <si>
    <t>Permata Pam.Jl Garuda Raya Blok E1/17 Bakti jaya</t>
  </si>
  <si>
    <t>0817243344</t>
  </si>
  <si>
    <t>Stephanus Hery Putranto</t>
  </si>
  <si>
    <t>3674075101180001</t>
  </si>
  <si>
    <t>Rex Brave Kertoasro</t>
  </si>
  <si>
    <t>Rex</t>
  </si>
  <si>
    <t>19 Januari 2018</t>
  </si>
  <si>
    <t>Jl Bima Blok C/120, Witana Harja</t>
  </si>
  <si>
    <t>0817761000</t>
  </si>
  <si>
    <t xml:space="preserve">Wira Bawana </t>
  </si>
  <si>
    <t>3276111911160001</t>
  </si>
  <si>
    <t>Maria Serafina Sarasvati</t>
  </si>
  <si>
    <t>Serafina</t>
  </si>
  <si>
    <t>05 Januari 2018</t>
  </si>
  <si>
    <t>Pamulang Permai A54</t>
  </si>
  <si>
    <t>081210505950</t>
  </si>
  <si>
    <t>Yakobus Danang Susetyojati</t>
  </si>
  <si>
    <t>3674064501180009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</si>
</sst>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"/>
  </numFmts>
  <fonts count="12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Arial"/>
      <family val="2"/>
    </font>
    <font>
      <sz val="12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</font>
    <font>
      <sz val="10"/>
      <color rgb="FFFF0000"/>
      <name val="Maiandra GD"/>
      <family val="2"/>
    </font>
    <font>
      <sz val="10"/>
      <name val="Maiandra GD"/>
      <family val="2"/>
    </font>
    <font>
      <b/>
      <sz val="10"/>
      <name val="Maiandra GD"/>
      <family val="2"/>
    </font>
    <font>
      <sz val="10"/>
      <color theme="1"/>
      <name val="Maiandra GD"/>
      <family val="2"/>
    </font>
    <font>
      <b/>
      <sz val="10"/>
      <color theme="1"/>
      <name val="Maiandra G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3" fillId="0" borderId="0" xfId="0" applyFont="1"/>
    <xf numFmtId="0" fontId="4" fillId="0" borderId="0" xfId="0" applyFont="1"/>
    <xf numFmtId="49" fontId="0" fillId="0" borderId="0" xfId="0" applyNumberFormat="1"/>
    <xf numFmtId="0" fontId="5" fillId="0" borderId="0" xfId="0" applyFont="1"/>
    <xf numFmtId="0" fontId="6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49" fontId="6" fillId="2" borderId="3" xfId="0" applyNumberFormat="1" applyFont="1" applyFill="1" applyBorder="1" applyAlignment="1">
      <alignment horizontal="center" vertical="center" shrinkToFit="1"/>
    </xf>
    <xf numFmtId="0" fontId="6" fillId="2" borderId="6" xfId="0" applyFont="1" applyFill="1" applyBorder="1" applyAlignment="1">
      <alignment horizontal="center" vertical="center" shrinkToFit="1"/>
    </xf>
    <xf numFmtId="0" fontId="7" fillId="2" borderId="8" xfId="0" applyFont="1" applyFill="1" applyBorder="1" applyAlignment="1">
      <alignment horizontal="center" vertical="center" shrinkToFit="1"/>
    </xf>
    <xf numFmtId="0" fontId="7" fillId="0" borderId="3" xfId="0" applyFont="1" applyFill="1" applyBorder="1" applyAlignment="1">
      <alignment horizontal="center" vertical="center" shrinkToFit="1"/>
    </xf>
    <xf numFmtId="0" fontId="7" fillId="0" borderId="3" xfId="0" applyFont="1" applyBorder="1" applyAlignment="1">
      <alignment horizontal="left" vertical="center" shrinkToFit="1"/>
    </xf>
    <xf numFmtId="0" fontId="7" fillId="0" borderId="3" xfId="0" applyFont="1" applyFill="1" applyBorder="1" applyAlignment="1">
      <alignment horizontal="left" vertical="center" shrinkToFit="1"/>
    </xf>
    <xf numFmtId="49" fontId="7" fillId="2" borderId="3" xfId="0" applyNumberFormat="1" applyFont="1" applyFill="1" applyBorder="1" applyAlignment="1">
      <alignment horizontal="center" vertical="center" shrinkToFit="1"/>
    </xf>
    <xf numFmtId="0" fontId="7" fillId="2" borderId="3" xfId="0" applyFont="1" applyFill="1" applyBorder="1" applyAlignment="1">
      <alignment horizontal="center" vertical="center" shrinkToFit="1"/>
    </xf>
    <xf numFmtId="49" fontId="7" fillId="2" borderId="3" xfId="0" applyNumberFormat="1" applyFont="1" applyFill="1" applyBorder="1" applyAlignment="1">
      <alignment horizontal="left" vertical="center" shrinkToFit="1"/>
    </xf>
    <xf numFmtId="0" fontId="7" fillId="2" borderId="3" xfId="0" applyFont="1" applyFill="1" applyBorder="1" applyAlignment="1">
      <alignment horizontal="left" vertical="center" shrinkToFit="1"/>
    </xf>
    <xf numFmtId="49" fontId="7" fillId="0" borderId="3" xfId="0" quotePrefix="1" applyNumberFormat="1" applyFont="1" applyBorder="1" applyAlignment="1">
      <alignment horizontal="left" vertical="center" shrinkToFit="1"/>
    </xf>
    <xf numFmtId="0" fontId="8" fillId="0" borderId="0" xfId="0" applyFont="1"/>
    <xf numFmtId="0" fontId="7" fillId="0" borderId="0" xfId="0" applyFont="1"/>
    <xf numFmtId="0" fontId="8" fillId="0" borderId="9" xfId="0" applyFont="1" applyFill="1" applyBorder="1" applyAlignment="1">
      <alignment horizontal="center" vertical="center" shrinkToFit="1"/>
    </xf>
    <xf numFmtId="49" fontId="8" fillId="2" borderId="3" xfId="0" quotePrefix="1" applyNumberFormat="1" applyFont="1" applyFill="1" applyBorder="1" applyAlignment="1">
      <alignment horizontal="center" vertical="center" shrinkToFit="1"/>
    </xf>
    <xf numFmtId="0" fontId="9" fillId="3" borderId="3" xfId="0" quotePrefix="1" applyNumberFormat="1" applyFont="1" applyFill="1" applyBorder="1" applyAlignment="1">
      <alignment horizontal="center" vertical="center" shrinkToFit="1"/>
    </xf>
    <xf numFmtId="49" fontId="9" fillId="3" borderId="3" xfId="0" quotePrefix="1" applyNumberFormat="1" applyFont="1" applyFill="1" applyBorder="1" applyAlignment="1">
      <alignment horizontal="center" vertical="center" shrinkToFit="1"/>
    </xf>
    <xf numFmtId="0" fontId="8" fillId="2" borderId="3" xfId="0" applyFont="1" applyFill="1" applyBorder="1" applyAlignment="1">
      <alignment horizontal="left" vertical="center" shrinkToFit="1"/>
    </xf>
    <xf numFmtId="49" fontId="8" fillId="2" borderId="3" xfId="0" applyNumberFormat="1" applyFont="1" applyFill="1" applyBorder="1" applyAlignment="1">
      <alignment horizontal="center" vertical="center" shrinkToFit="1"/>
    </xf>
    <xf numFmtId="0" fontId="8" fillId="2" borderId="3" xfId="0" applyFont="1" applyFill="1" applyBorder="1" applyAlignment="1">
      <alignment horizontal="center" vertical="center" shrinkToFit="1"/>
    </xf>
    <xf numFmtId="49" fontId="8" fillId="2" borderId="3" xfId="0" applyNumberFormat="1" applyFont="1" applyFill="1" applyBorder="1" applyAlignment="1">
      <alignment horizontal="left" vertical="center" shrinkToFit="1"/>
    </xf>
    <xf numFmtId="0" fontId="10" fillId="0" borderId="0" xfId="0" applyFont="1"/>
    <xf numFmtId="0" fontId="8" fillId="2" borderId="8" xfId="0" applyFont="1" applyFill="1" applyBorder="1" applyAlignment="1">
      <alignment horizontal="center" vertical="center" shrinkToFit="1"/>
    </xf>
    <xf numFmtId="164" fontId="8" fillId="0" borderId="7" xfId="0" quotePrefix="1" applyNumberFormat="1" applyFont="1" applyFill="1" applyBorder="1" applyAlignment="1">
      <alignment horizontal="center" vertical="center" shrinkToFit="1"/>
    </xf>
    <xf numFmtId="164" fontId="9" fillId="3" borderId="7" xfId="0" quotePrefix="1" applyNumberFormat="1" applyFont="1" applyFill="1" applyBorder="1" applyAlignment="1">
      <alignment horizontal="center" vertical="center" shrinkToFit="1"/>
    </xf>
    <xf numFmtId="0" fontId="8" fillId="0" borderId="3" xfId="0" applyFont="1" applyFill="1" applyBorder="1" applyAlignment="1">
      <alignment horizontal="left" vertical="center" shrinkToFit="1"/>
    </xf>
    <xf numFmtId="49" fontId="8" fillId="2" borderId="3" xfId="0" quotePrefix="1" applyNumberFormat="1" applyFont="1" applyFill="1" applyBorder="1" applyAlignment="1">
      <alignment horizontal="left" vertical="center" shrinkToFit="1"/>
    </xf>
    <xf numFmtId="164" fontId="8" fillId="0" borderId="3" xfId="0" quotePrefix="1" applyNumberFormat="1" applyFont="1" applyFill="1" applyBorder="1" applyAlignment="1">
      <alignment horizontal="center" vertical="center" shrinkToFit="1"/>
    </xf>
    <xf numFmtId="164" fontId="9" fillId="3" borderId="3" xfId="0" quotePrefix="1" applyNumberFormat="1" applyFont="1" applyFill="1" applyBorder="1" applyAlignment="1">
      <alignment horizontal="center" vertical="center" shrinkToFit="1"/>
    </xf>
    <xf numFmtId="0" fontId="8" fillId="2" borderId="3" xfId="0" quotePrefix="1" applyFont="1" applyFill="1" applyBorder="1" applyAlignment="1">
      <alignment horizontal="left" vertical="center" shrinkToFit="1"/>
    </xf>
    <xf numFmtId="0" fontId="8" fillId="2" borderId="3" xfId="0" quotePrefix="1" applyFont="1" applyFill="1" applyBorder="1" applyAlignment="1">
      <alignment horizontal="center" vertical="center" shrinkToFit="1"/>
    </xf>
    <xf numFmtId="0" fontId="8" fillId="2" borderId="7" xfId="0" applyFont="1" applyFill="1" applyBorder="1" applyAlignment="1">
      <alignment horizontal="left" vertical="center" shrinkToFit="1"/>
    </xf>
    <xf numFmtId="164" fontId="8" fillId="0" borderId="2" xfId="0" quotePrefix="1" applyNumberFormat="1" applyFont="1" applyFill="1" applyBorder="1" applyAlignment="1">
      <alignment horizontal="center" vertical="center" shrinkToFit="1"/>
    </xf>
    <xf numFmtId="164" fontId="9" fillId="3" borderId="2" xfId="0" quotePrefix="1" applyNumberFormat="1" applyFont="1" applyFill="1" applyBorder="1" applyAlignment="1">
      <alignment horizontal="center" vertical="center" shrinkToFit="1"/>
    </xf>
    <xf numFmtId="0" fontId="8" fillId="0" borderId="4" xfId="0" applyFont="1" applyFill="1" applyBorder="1" applyAlignment="1">
      <alignment horizontal="left" vertical="center" shrinkToFit="1"/>
    </xf>
    <xf numFmtId="0" fontId="10" fillId="0" borderId="3" xfId="0" applyFont="1" applyFill="1" applyBorder="1" applyAlignment="1">
      <alignment horizontal="center" vertical="center" shrinkToFit="1"/>
    </xf>
    <xf numFmtId="164" fontId="10" fillId="0" borderId="3" xfId="0" applyNumberFormat="1" applyFont="1" applyFill="1" applyBorder="1" applyAlignment="1">
      <alignment horizontal="center" vertical="center" shrinkToFit="1"/>
    </xf>
    <xf numFmtId="49" fontId="10" fillId="2" borderId="3" xfId="0" quotePrefix="1" applyNumberFormat="1" applyFont="1" applyFill="1" applyBorder="1" applyAlignment="1">
      <alignment horizontal="left" vertical="center" shrinkToFit="1"/>
    </xf>
    <xf numFmtId="0" fontId="4" fillId="2" borderId="3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4" xfId="0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 shrinkToFit="1"/>
    </xf>
    <xf numFmtId="0" fontId="0" fillId="0" borderId="3" xfId="0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6" fillId="2" borderId="5" xfId="0" applyFont="1" applyFill="1" applyBorder="1" applyAlignment="1">
      <alignment horizontal="center" vertical="center" shrinkToFit="1"/>
    </xf>
    <xf numFmtId="0" fontId="6" fillId="2" borderId="6" xfId="0" applyFont="1" applyFill="1" applyBorder="1" applyAlignment="1">
      <alignment horizontal="center" vertical="center" shrinkToFit="1"/>
    </xf>
    <xf numFmtId="49" fontId="6" fillId="2" borderId="3" xfId="0" applyNumberFormat="1" applyFont="1" applyFill="1" applyBorder="1" applyAlignment="1">
      <alignment horizontal="center" vertical="center" shrinkToFit="1"/>
    </xf>
    <xf numFmtId="0" fontId="10" fillId="0" borderId="3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49" fontId="10" fillId="0" borderId="3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3" xfId="0" applyFont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4"/>
  <sheetViews>
    <sheetView tabSelected="1" workbookViewId="0">
      <selection activeCell="F17" sqref="F17"/>
    </sheetView>
  </sheetViews>
  <sheetFormatPr defaultRowHeight="15.75" x14ac:dyDescent="0.25"/>
  <cols>
    <col min="1" max="1" width="3.85546875" style="2" customWidth="1"/>
    <col min="2" max="2" width="6.7109375" customWidth="1"/>
    <col min="3" max="3" width="13.140625" customWidth="1"/>
    <col min="4" max="4" width="11.85546875" customWidth="1"/>
    <col min="5" max="5" width="8.7109375" customWidth="1"/>
    <col min="6" max="6" width="31.140625" style="4" customWidth="1"/>
    <col min="7" max="7" width="8.28515625" customWidth="1"/>
    <col min="8" max="8" width="4.28515625" style="5" customWidth="1"/>
    <col min="9" max="9" width="8.140625" customWidth="1"/>
    <col min="10" max="10" width="14.28515625" customWidth="1"/>
    <col min="11" max="11" width="16.42578125" style="5" customWidth="1"/>
    <col min="12" max="12" width="39.28515625" customWidth="1"/>
    <col min="13" max="13" width="14" style="6" customWidth="1"/>
    <col min="14" max="14" width="20.7109375" customWidth="1"/>
    <col min="15" max="15" width="5.85546875" customWidth="1"/>
    <col min="16" max="16" width="11.85546875" customWidth="1"/>
    <col min="17" max="17" width="19.140625" customWidth="1"/>
  </cols>
  <sheetData>
    <row r="2" spans="1:19" ht="16.5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9" ht="16.5" x14ac:dyDescent="0.25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9" ht="16.5" x14ac:dyDescent="0.25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9" ht="14.25" customHeight="1" x14ac:dyDescent="0.25">
      <c r="B5" s="3"/>
      <c r="C5" s="3"/>
      <c r="D5" s="3"/>
      <c r="E5" s="3"/>
    </row>
    <row r="6" spans="1:19" ht="16.5" customHeight="1" x14ac:dyDescent="0.25">
      <c r="A6" s="52" t="s">
        <v>3</v>
      </c>
      <c r="B6" s="53"/>
      <c r="C6" s="7"/>
      <c r="D6" s="7"/>
      <c r="E6" s="7"/>
      <c r="F6" s="47" t="s">
        <v>4</v>
      </c>
      <c r="G6" s="48" t="s">
        <v>5</v>
      </c>
      <c r="H6" s="56" t="s">
        <v>6</v>
      </c>
      <c r="I6" s="48" t="s">
        <v>7</v>
      </c>
      <c r="J6" s="8" t="s">
        <v>8</v>
      </c>
      <c r="K6" s="9" t="s">
        <v>9</v>
      </c>
      <c r="L6" s="48" t="s">
        <v>10</v>
      </c>
      <c r="M6" s="47" t="s">
        <v>11</v>
      </c>
      <c r="N6" s="8" t="s">
        <v>12</v>
      </c>
      <c r="O6" s="48" t="s">
        <v>13</v>
      </c>
      <c r="P6" s="49" t="s">
        <v>14</v>
      </c>
      <c r="Q6" s="51" t="s">
        <v>15</v>
      </c>
    </row>
    <row r="7" spans="1:19" ht="16.5" customHeight="1" x14ac:dyDescent="0.25">
      <c r="A7" s="54"/>
      <c r="B7" s="55"/>
      <c r="C7" s="10" t="s">
        <v>16</v>
      </c>
      <c r="D7" s="10" t="s">
        <v>17</v>
      </c>
      <c r="E7" s="10"/>
      <c r="F7" s="47"/>
      <c r="G7" s="48"/>
      <c r="H7" s="56"/>
      <c r="I7" s="48"/>
      <c r="J7" s="8" t="s">
        <v>18</v>
      </c>
      <c r="K7" s="9" t="s">
        <v>18</v>
      </c>
      <c r="L7" s="48"/>
      <c r="M7" s="47"/>
      <c r="N7" s="8" t="s">
        <v>19</v>
      </c>
      <c r="O7" s="48"/>
      <c r="P7" s="50"/>
      <c r="Q7" s="51"/>
    </row>
    <row r="8" spans="1:19" s="21" customFormat="1" ht="23.25" customHeight="1" x14ac:dyDescent="0.2">
      <c r="A8" s="11">
        <v>1</v>
      </c>
      <c r="B8" s="12"/>
      <c r="C8" s="12"/>
      <c r="D8" s="12"/>
      <c r="E8" s="12"/>
      <c r="F8" s="13" t="s">
        <v>20</v>
      </c>
      <c r="G8" s="14" t="s">
        <v>21</v>
      </c>
      <c r="H8" s="15" t="s">
        <v>22</v>
      </c>
      <c r="I8" s="16" t="s">
        <v>23</v>
      </c>
      <c r="J8" s="13" t="s">
        <v>24</v>
      </c>
      <c r="K8" s="17" t="s">
        <v>25</v>
      </c>
      <c r="L8" s="18" t="s">
        <v>26</v>
      </c>
      <c r="M8" s="17" t="s">
        <v>27</v>
      </c>
      <c r="N8" s="17" t="s">
        <v>28</v>
      </c>
      <c r="O8" s="15" t="s">
        <v>29</v>
      </c>
      <c r="P8" s="17" t="s">
        <v>30</v>
      </c>
      <c r="Q8" s="19" t="s">
        <v>31</v>
      </c>
      <c r="R8" s="20"/>
      <c r="S8" s="20"/>
    </row>
    <row r="9" spans="1:19" s="30" customFormat="1" ht="23.25" customHeight="1" x14ac:dyDescent="0.2">
      <c r="A9" s="22">
        <v>2</v>
      </c>
      <c r="B9" s="23" t="s">
        <v>32</v>
      </c>
      <c r="C9" s="24" t="str">
        <f>CONCATENATE("127",E9,B9)</f>
        <v>1272021001</v>
      </c>
      <c r="D9" s="25" t="s">
        <v>33</v>
      </c>
      <c r="E9" s="23" t="s">
        <v>34</v>
      </c>
      <c r="F9" s="26" t="s">
        <v>35</v>
      </c>
      <c r="G9" s="26" t="s">
        <v>36</v>
      </c>
      <c r="H9" s="27" t="s">
        <v>22</v>
      </c>
      <c r="I9" s="28" t="s">
        <v>23</v>
      </c>
      <c r="J9" s="26" t="s">
        <v>24</v>
      </c>
      <c r="K9" s="29" t="s">
        <v>37</v>
      </c>
      <c r="L9" s="26" t="s">
        <v>38</v>
      </c>
      <c r="M9" s="29" t="s">
        <v>39</v>
      </c>
      <c r="N9" s="26" t="s">
        <v>40</v>
      </c>
      <c r="O9" s="28" t="s">
        <v>41</v>
      </c>
      <c r="P9" s="26" t="s">
        <v>42</v>
      </c>
      <c r="Q9" s="29" t="s">
        <v>43</v>
      </c>
      <c r="R9" s="20"/>
      <c r="S9" s="20"/>
    </row>
    <row r="10" spans="1:19" s="30" customFormat="1" ht="23.25" customHeight="1" x14ac:dyDescent="0.2">
      <c r="A10" s="31">
        <v>3</v>
      </c>
      <c r="B10" s="32">
        <v>80</v>
      </c>
      <c r="C10" s="24" t="str">
        <f t="shared" ref="C10:C12" si="0">CONCATENATE("127",E10,B10)</f>
        <v>127202180</v>
      </c>
      <c r="D10" s="33">
        <v>20180313</v>
      </c>
      <c r="E10" s="23" t="s">
        <v>34</v>
      </c>
      <c r="F10" s="34" t="s">
        <v>44</v>
      </c>
      <c r="G10" s="34" t="s">
        <v>45</v>
      </c>
      <c r="H10" s="27" t="s">
        <v>46</v>
      </c>
      <c r="I10" s="28" t="s">
        <v>23</v>
      </c>
      <c r="J10" s="26" t="s">
        <v>24</v>
      </c>
      <c r="K10" s="35" t="s">
        <v>47</v>
      </c>
      <c r="L10" s="26" t="s">
        <v>48</v>
      </c>
      <c r="M10" s="35" t="s">
        <v>49</v>
      </c>
      <c r="N10" s="29" t="s">
        <v>50</v>
      </c>
      <c r="O10" s="27" t="s">
        <v>41</v>
      </c>
      <c r="P10" s="29" t="s">
        <v>51</v>
      </c>
      <c r="Q10" s="29" t="s">
        <v>52</v>
      </c>
      <c r="R10" s="20"/>
      <c r="S10" s="20"/>
    </row>
    <row r="11" spans="1:19" s="30" customFormat="1" ht="23.25" customHeight="1" x14ac:dyDescent="0.2">
      <c r="A11" s="22">
        <v>4</v>
      </c>
      <c r="B11" s="36">
        <v>35</v>
      </c>
      <c r="C11" s="24" t="str">
        <f t="shared" si="0"/>
        <v>127202135</v>
      </c>
      <c r="D11" s="37">
        <v>20171216</v>
      </c>
      <c r="E11" s="23" t="s">
        <v>34</v>
      </c>
      <c r="F11" s="34" t="s">
        <v>53</v>
      </c>
      <c r="G11" s="34" t="s">
        <v>54</v>
      </c>
      <c r="H11" s="27" t="s">
        <v>22</v>
      </c>
      <c r="I11" s="28" t="s">
        <v>55</v>
      </c>
      <c r="J11" s="26" t="s">
        <v>56</v>
      </c>
      <c r="K11" s="35" t="s">
        <v>57</v>
      </c>
      <c r="L11" s="26" t="s">
        <v>58</v>
      </c>
      <c r="M11" s="35" t="s">
        <v>59</v>
      </c>
      <c r="N11" s="38" t="s">
        <v>60</v>
      </c>
      <c r="O11" s="39" t="s">
        <v>61</v>
      </c>
      <c r="P11" s="40" t="s">
        <v>62</v>
      </c>
      <c r="Q11" s="29" t="s">
        <v>63</v>
      </c>
      <c r="R11" s="20"/>
      <c r="S11" s="20"/>
    </row>
    <row r="12" spans="1:19" s="30" customFormat="1" ht="23.25" customHeight="1" x14ac:dyDescent="0.2">
      <c r="A12" s="31">
        <v>5</v>
      </c>
      <c r="B12" s="41">
        <v>50</v>
      </c>
      <c r="C12" s="24" t="str">
        <f>CONCATENATE("127",E12,B12)</f>
        <v>127202150</v>
      </c>
      <c r="D12" s="42">
        <v>20180111</v>
      </c>
      <c r="E12" s="23" t="s">
        <v>34</v>
      </c>
      <c r="F12" s="43" t="s">
        <v>64</v>
      </c>
      <c r="G12" s="34" t="s">
        <v>65</v>
      </c>
      <c r="H12" s="27" t="s">
        <v>22</v>
      </c>
      <c r="I12" s="28" t="s">
        <v>23</v>
      </c>
      <c r="J12" s="26" t="s">
        <v>66</v>
      </c>
      <c r="K12" s="35" t="s">
        <v>67</v>
      </c>
      <c r="L12" s="26" t="s">
        <v>68</v>
      </c>
      <c r="M12" s="35" t="s">
        <v>69</v>
      </c>
      <c r="N12" s="29" t="s">
        <v>70</v>
      </c>
      <c r="O12" s="27" t="s">
        <v>41</v>
      </c>
      <c r="P12" s="29" t="s">
        <v>30</v>
      </c>
      <c r="Q12" s="29" t="s">
        <v>71</v>
      </c>
    </row>
    <row r="13" spans="1:19" s="30" customFormat="1" ht="23.25" customHeight="1" x14ac:dyDescent="0.2">
      <c r="A13" s="22">
        <v>6</v>
      </c>
      <c r="B13" s="44"/>
      <c r="C13" s="45">
        <v>3072020002</v>
      </c>
      <c r="D13" s="45">
        <v>20180119001</v>
      </c>
      <c r="E13" s="44">
        <v>2020</v>
      </c>
      <c r="F13" s="34" t="s">
        <v>72</v>
      </c>
      <c r="G13" s="34" t="s">
        <v>73</v>
      </c>
      <c r="H13" s="27" t="s">
        <v>46</v>
      </c>
      <c r="I13" s="28" t="s">
        <v>23</v>
      </c>
      <c r="J13" s="26" t="s">
        <v>24</v>
      </c>
      <c r="K13" s="35" t="s">
        <v>74</v>
      </c>
      <c r="L13" s="26" t="s">
        <v>75</v>
      </c>
      <c r="M13" s="46" t="s">
        <v>76</v>
      </c>
      <c r="N13" s="29" t="s">
        <v>77</v>
      </c>
      <c r="O13" s="27" t="s">
        <v>29</v>
      </c>
      <c r="P13" s="29" t="s">
        <v>30</v>
      </c>
      <c r="Q13" s="35" t="s">
        <v>78</v>
      </c>
    </row>
    <row r="14" spans="1:19" s="60" customFormat="1" ht="22.5" customHeight="1" x14ac:dyDescent="0.25">
      <c r="A14" s="57"/>
      <c r="B14" s="61">
        <v>104</v>
      </c>
      <c r="C14" s="24" t="str">
        <f>CONCATENATE("127",E14,B14)</f>
        <v>1272021104</v>
      </c>
      <c r="D14" s="62">
        <v>20180105</v>
      </c>
      <c r="E14" s="61">
        <v>2021</v>
      </c>
      <c r="F14" s="58" t="s">
        <v>79</v>
      </c>
      <c r="G14" s="57" t="s">
        <v>80</v>
      </c>
      <c r="H14" s="59" t="s">
        <v>22</v>
      </c>
      <c r="I14" s="57" t="s">
        <v>23</v>
      </c>
      <c r="J14" s="57" t="s">
        <v>24</v>
      </c>
      <c r="K14" s="59" t="s">
        <v>81</v>
      </c>
      <c r="L14" s="57" t="s">
        <v>82</v>
      </c>
      <c r="M14" s="59" t="s">
        <v>83</v>
      </c>
      <c r="N14" s="59" t="s">
        <v>84</v>
      </c>
      <c r="O14" s="59" t="s">
        <v>41</v>
      </c>
      <c r="P14" s="59" t="s">
        <v>51</v>
      </c>
      <c r="Q14" s="59" t="s">
        <v>85</v>
      </c>
    </row>
  </sheetData>
  <mergeCells count="10">
    <mergeCell ref="M6:M7"/>
    <mergeCell ref="O6:O7"/>
    <mergeCell ref="P6:P7"/>
    <mergeCell ref="Q6:Q7"/>
    <mergeCell ref="A6:B7"/>
    <mergeCell ref="F6:F7"/>
    <mergeCell ref="G6:G7"/>
    <mergeCell ref="H6:H7"/>
    <mergeCell ref="I6:I7"/>
    <mergeCell ref="L6:L7"/>
  </mergeCells>
  <pageMargins left="0.19685039370078741" right="0" top="0.78740157480314965" bottom="0.15748031496062992" header="0" footer="0"/>
  <pageSetup paperSize="256" scale="80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PG IBU DEBBY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2021-08-25T03:44:17Z</dcterms:modified>
</cp:coreProperties>
</file>