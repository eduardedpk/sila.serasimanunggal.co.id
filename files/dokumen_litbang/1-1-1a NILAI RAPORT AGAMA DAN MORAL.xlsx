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Raport\Raport 2019-2020\PG3 2019-2020\Rapot PG3 Smt 2 19-20\1.MORAL AGAMA PG3\"/>
    </mc:Choice>
  </mc:AlternateContent>
  <bookViews>
    <workbookView xWindow="0" yWindow="50" windowWidth="15200" windowHeight="8450" tabRatio="759" activeTab="3"/>
  </bookViews>
  <sheets>
    <sheet name="PETUNJUK" sheetId="78" r:id="rId1"/>
    <sheet name="SIMBUL HBS" sheetId="77" r:id="rId2"/>
    <sheet name="DAFNIL NAM" sheetId="25" r:id="rId3"/>
    <sheet name="Rangkuman NAM" sheetId="86" r:id="rId4"/>
    <sheet name="RAPORTAGAMA PRINT OUT" sheetId="84" r:id="rId5"/>
  </sheets>
  <definedNames>
    <definedName name="_xlnm.Print_Area" localSheetId="2">'DAFNIL NAM'!$B$6:$AG$36</definedName>
    <definedName name="_xlnm.Print_Area" localSheetId="3">'Rangkuman NAM'!$B$6:$Q$36</definedName>
    <definedName name="_xlnm.Print_Area" localSheetId="4">'RAPORTAGAMA PRINT OUT'!$B$1:$O$31</definedName>
  </definedNames>
  <calcPr calcId="162913"/>
</workbook>
</file>

<file path=xl/calcChain.xml><?xml version="1.0" encoding="utf-8"?>
<calcChain xmlns="http://schemas.openxmlformats.org/spreadsheetml/2006/main">
  <c r="S31" i="84" l="1"/>
  <c r="T31" i="84"/>
  <c r="P31" i="84" l="1"/>
  <c r="Q31" i="84"/>
  <c r="C10" i="86" l="1"/>
  <c r="C4" i="84" s="1"/>
  <c r="C11" i="86"/>
  <c r="C5" i="84" s="1"/>
  <c r="C12" i="86"/>
  <c r="C6" i="84" s="1"/>
  <c r="C13" i="86"/>
  <c r="C7" i="84" s="1"/>
  <c r="C14" i="86"/>
  <c r="C8" i="84" s="1"/>
  <c r="C15" i="86"/>
  <c r="C9" i="84" s="1"/>
  <c r="C16" i="86"/>
  <c r="C10" i="84" s="1"/>
  <c r="C17" i="86"/>
  <c r="C11" i="84" s="1"/>
  <c r="C18" i="86"/>
  <c r="C12" i="84" s="1"/>
  <c r="C19" i="86"/>
  <c r="C13" i="84" s="1"/>
  <c r="C20" i="86"/>
  <c r="C14" i="84" s="1"/>
  <c r="C21" i="86"/>
  <c r="C15" i="84" s="1"/>
  <c r="C22" i="86"/>
  <c r="C16" i="84" s="1"/>
  <c r="C23" i="86"/>
  <c r="C17" i="84" s="1"/>
  <c r="C24" i="86"/>
  <c r="C18" i="84" s="1"/>
  <c r="C25" i="86"/>
  <c r="C26" i="86"/>
  <c r="C27" i="86"/>
  <c r="C28" i="86"/>
  <c r="C29" i="86"/>
  <c r="C30" i="86"/>
  <c r="C31" i="86"/>
  <c r="C32" i="86"/>
  <c r="C33" i="86"/>
  <c r="C34" i="86"/>
  <c r="C35" i="86"/>
  <c r="C36" i="86"/>
  <c r="C9" i="86"/>
  <c r="C3" i="84" s="1"/>
  <c r="C8" i="86"/>
  <c r="C2" i="84" s="1"/>
  <c r="V4" i="84" l="1"/>
  <c r="W4" i="84"/>
  <c r="V5" i="84"/>
  <c r="W5" i="84"/>
  <c r="V6" i="84"/>
  <c r="W6" i="84"/>
  <c r="V7" i="84"/>
  <c r="W7" i="84"/>
  <c r="V8" i="84"/>
  <c r="W8" i="84"/>
  <c r="V9" i="84"/>
  <c r="W9" i="84"/>
  <c r="V10" i="84"/>
  <c r="W10" i="84"/>
  <c r="V11" i="84"/>
  <c r="W11" i="84"/>
  <c r="V12" i="84"/>
  <c r="W12" i="84"/>
  <c r="V13" i="84"/>
  <c r="W13" i="84"/>
  <c r="V14" i="84"/>
  <c r="W14" i="84"/>
  <c r="V15" i="84"/>
  <c r="W15" i="84"/>
  <c r="V16" i="84"/>
  <c r="W16" i="84"/>
  <c r="V17" i="84"/>
  <c r="W17" i="84"/>
  <c r="V18" i="84"/>
  <c r="W18" i="84"/>
  <c r="V31" i="84"/>
  <c r="W31" i="84"/>
  <c r="V3" i="84"/>
  <c r="W3" i="84"/>
  <c r="W2" i="84"/>
  <c r="V2" i="84"/>
  <c r="AG11" i="25" l="1"/>
  <c r="P11" i="86" s="1"/>
  <c r="Q11" i="86" s="1"/>
  <c r="AG12" i="25"/>
  <c r="P12" i="86" s="1"/>
  <c r="Q12" i="86" s="1"/>
  <c r="AG13" i="25"/>
  <c r="P13" i="86" s="1"/>
  <c r="Q13" i="86" s="1"/>
  <c r="AG14" i="25"/>
  <c r="P14" i="86" s="1"/>
  <c r="Q14" i="86" s="1"/>
  <c r="AG15" i="25"/>
  <c r="P15" i="86" s="1"/>
  <c r="Q15" i="86" s="1"/>
  <c r="R15" i="86" s="1"/>
  <c r="AG16" i="25"/>
  <c r="P16" i="86" s="1"/>
  <c r="Q16" i="86" s="1"/>
  <c r="AG17" i="25"/>
  <c r="P17" i="86" s="1"/>
  <c r="Q17" i="86" s="1"/>
  <c r="AG18" i="25"/>
  <c r="P18" i="86" s="1"/>
  <c r="Q18" i="86" s="1"/>
  <c r="R18" i="86" s="1"/>
  <c r="AG19" i="25"/>
  <c r="P19" i="86" s="1"/>
  <c r="Q19" i="86" s="1"/>
  <c r="R19" i="86" s="1"/>
  <c r="AG20" i="25"/>
  <c r="P20" i="86" s="1"/>
  <c r="Q20" i="86" s="1"/>
  <c r="AG21" i="25"/>
  <c r="P21" i="86" s="1"/>
  <c r="Q21" i="86" s="1"/>
  <c r="AG22" i="25"/>
  <c r="AG23" i="25"/>
  <c r="AG24" i="25"/>
  <c r="AG25" i="25"/>
  <c r="AG26" i="25"/>
  <c r="AG27" i="25"/>
  <c r="AG28" i="25"/>
  <c r="AG29" i="25"/>
  <c r="AG30" i="25"/>
  <c r="AG31" i="25"/>
  <c r="AG32" i="25"/>
  <c r="AG33" i="25"/>
  <c r="AG34" i="25"/>
  <c r="AG35" i="25"/>
  <c r="AG36" i="25"/>
  <c r="AG10" i="25"/>
  <c r="P10" i="86" s="1"/>
  <c r="Q10" i="86" s="1"/>
  <c r="AG9" i="25"/>
  <c r="P9" i="86" s="1"/>
  <c r="Q9" i="86" s="1"/>
  <c r="AG8" i="25"/>
  <c r="P8" i="86" s="1"/>
  <c r="Q8" i="86" s="1"/>
  <c r="R8" i="86" s="1"/>
  <c r="AA11" i="25"/>
  <c r="M11" i="86" s="1"/>
  <c r="N11" i="86" s="1"/>
  <c r="O11" i="86" s="1"/>
  <c r="AA12" i="25"/>
  <c r="M12" i="86" s="1"/>
  <c r="N12" i="86" s="1"/>
  <c r="O12" i="86" s="1"/>
  <c r="AA13" i="25"/>
  <c r="M13" i="86" s="1"/>
  <c r="N13" i="86" s="1"/>
  <c r="O13" i="86" s="1"/>
  <c r="AA14" i="25"/>
  <c r="M14" i="86" s="1"/>
  <c r="N14" i="86" s="1"/>
  <c r="O14" i="86" s="1"/>
  <c r="AA15" i="25"/>
  <c r="M15" i="86" s="1"/>
  <c r="N15" i="86" s="1"/>
  <c r="O15" i="86" s="1"/>
  <c r="AA16" i="25"/>
  <c r="M16" i="86" s="1"/>
  <c r="N16" i="86" s="1"/>
  <c r="O16" i="86" s="1"/>
  <c r="AA17" i="25"/>
  <c r="M17" i="86" s="1"/>
  <c r="N17" i="86" s="1"/>
  <c r="O17" i="86" s="1"/>
  <c r="AA18" i="25"/>
  <c r="M18" i="86" s="1"/>
  <c r="N18" i="86" s="1"/>
  <c r="O18" i="86" s="1"/>
  <c r="AA19" i="25"/>
  <c r="M19" i="86" s="1"/>
  <c r="N19" i="86" s="1"/>
  <c r="O19" i="86" s="1"/>
  <c r="AA20" i="25"/>
  <c r="M20" i="86" s="1"/>
  <c r="N20" i="86" s="1"/>
  <c r="O20" i="86" s="1"/>
  <c r="AA21" i="25"/>
  <c r="M21" i="86" s="1"/>
  <c r="N21" i="86" s="1"/>
  <c r="O21" i="86" s="1"/>
  <c r="AA22" i="25"/>
  <c r="AA23" i="25"/>
  <c r="AA24" i="25"/>
  <c r="AA25" i="25"/>
  <c r="AA26" i="25"/>
  <c r="AA27" i="25"/>
  <c r="AA28" i="25"/>
  <c r="AA29" i="25"/>
  <c r="AA30" i="25"/>
  <c r="AA31" i="25"/>
  <c r="AA32" i="25"/>
  <c r="AA33" i="25"/>
  <c r="AA34" i="25"/>
  <c r="AA35" i="25"/>
  <c r="AA36" i="25"/>
  <c r="AA10" i="25"/>
  <c r="M10" i="86" s="1"/>
  <c r="N10" i="86" s="1"/>
  <c r="O10" i="86" s="1"/>
  <c r="AA9" i="25"/>
  <c r="M9" i="86" s="1"/>
  <c r="N9" i="86" s="1"/>
  <c r="O9" i="86" s="1"/>
  <c r="AA8" i="25"/>
  <c r="M8" i="86" s="1"/>
  <c r="N8" i="86" s="1"/>
  <c r="O8" i="86" s="1"/>
  <c r="U10" i="25"/>
  <c r="J10" i="86" s="1"/>
  <c r="K10" i="86" s="1"/>
  <c r="U11" i="25"/>
  <c r="J11" i="86" s="1"/>
  <c r="K11" i="86" s="1"/>
  <c r="U12" i="25"/>
  <c r="J12" i="86" s="1"/>
  <c r="K12" i="86" s="1"/>
  <c r="U13" i="25"/>
  <c r="J13" i="86" s="1"/>
  <c r="K13" i="86" s="1"/>
  <c r="U14" i="25"/>
  <c r="J14" i="86" s="1"/>
  <c r="K14" i="86" s="1"/>
  <c r="U15" i="25"/>
  <c r="J15" i="86" s="1"/>
  <c r="K15" i="86" s="1"/>
  <c r="L15" i="86" s="1"/>
  <c r="U16" i="25"/>
  <c r="J16" i="86" s="1"/>
  <c r="K16" i="86" s="1"/>
  <c r="U17" i="25"/>
  <c r="J17" i="86" s="1"/>
  <c r="K17" i="86" s="1"/>
  <c r="U18" i="25"/>
  <c r="J18" i="86" s="1"/>
  <c r="K18" i="86" s="1"/>
  <c r="U19" i="25"/>
  <c r="J19" i="86" s="1"/>
  <c r="K19" i="86" s="1"/>
  <c r="L19" i="86" s="1"/>
  <c r="U20" i="25"/>
  <c r="J20" i="86" s="1"/>
  <c r="K20" i="86" s="1"/>
  <c r="L20" i="86" s="1"/>
  <c r="U21" i="25"/>
  <c r="J21" i="86" s="1"/>
  <c r="K21" i="86" s="1"/>
  <c r="L21" i="86" s="1"/>
  <c r="U22" i="25"/>
  <c r="U23" i="25"/>
  <c r="U24" i="25"/>
  <c r="U25" i="25"/>
  <c r="U26" i="25"/>
  <c r="U27" i="25"/>
  <c r="U28" i="25"/>
  <c r="U29" i="25"/>
  <c r="U30" i="25"/>
  <c r="U31" i="25"/>
  <c r="U32" i="25"/>
  <c r="U33" i="25"/>
  <c r="U34" i="25"/>
  <c r="U35" i="25"/>
  <c r="U36" i="25"/>
  <c r="U9" i="25"/>
  <c r="J9" i="86" s="1"/>
  <c r="K9" i="86" s="1"/>
  <c r="U8" i="25"/>
  <c r="J8" i="86" s="1"/>
  <c r="K8" i="86" s="1"/>
  <c r="B9" i="86"/>
  <c r="B10" i="86" s="1"/>
  <c r="B11" i="86" s="1"/>
  <c r="B12" i="86" s="1"/>
  <c r="B13" i="86" s="1"/>
  <c r="B14" i="86" s="1"/>
  <c r="B15" i="86" s="1"/>
  <c r="B16" i="86" s="1"/>
  <c r="B17" i="86" s="1"/>
  <c r="B18" i="86" s="1"/>
  <c r="B19" i="86" s="1"/>
  <c r="B20" i="86" s="1"/>
  <c r="B21" i="86" s="1"/>
  <c r="B22" i="86" s="1"/>
  <c r="B23" i="86" s="1"/>
  <c r="B24" i="86" s="1"/>
  <c r="B25" i="86" s="1"/>
  <c r="B26" i="86" s="1"/>
  <c r="B27" i="86" s="1"/>
  <c r="B28" i="86" s="1"/>
  <c r="B29" i="86" s="1"/>
  <c r="B30" i="86" s="1"/>
  <c r="B31" i="86" s="1"/>
  <c r="B32" i="86" s="1"/>
  <c r="B33" i="86" s="1"/>
  <c r="B34" i="86" s="1"/>
  <c r="B35" i="86" s="1"/>
  <c r="B36" i="86" s="1"/>
  <c r="O10" i="25"/>
  <c r="G10" i="86" s="1"/>
  <c r="H10" i="86" s="1"/>
  <c r="O11" i="25"/>
  <c r="G11" i="86" s="1"/>
  <c r="H11" i="86" s="1"/>
  <c r="O12" i="25"/>
  <c r="G12" i="86" s="1"/>
  <c r="H12" i="86" s="1"/>
  <c r="O13" i="25"/>
  <c r="G13" i="86" s="1"/>
  <c r="H13" i="86" s="1"/>
  <c r="O14" i="25"/>
  <c r="G14" i="86" s="1"/>
  <c r="H14" i="86" s="1"/>
  <c r="O15" i="25"/>
  <c r="G15" i="86" s="1"/>
  <c r="H15" i="86" s="1"/>
  <c r="I15" i="86" s="1"/>
  <c r="O16" i="25"/>
  <c r="G16" i="86" s="1"/>
  <c r="H16" i="86" s="1"/>
  <c r="O17" i="25"/>
  <c r="G17" i="86" s="1"/>
  <c r="H17" i="86" s="1"/>
  <c r="O18" i="25"/>
  <c r="G18" i="86" s="1"/>
  <c r="H18" i="86" s="1"/>
  <c r="O19" i="25"/>
  <c r="G19" i="86" s="1"/>
  <c r="H19" i="86" s="1"/>
  <c r="I19" i="86" s="1"/>
  <c r="O20" i="25"/>
  <c r="G20" i="86" s="1"/>
  <c r="H20" i="86" s="1"/>
  <c r="O21" i="25"/>
  <c r="G21" i="86" s="1"/>
  <c r="H21" i="86" s="1"/>
  <c r="I21" i="86" s="1"/>
  <c r="O22" i="25"/>
  <c r="O23" i="25"/>
  <c r="O24" i="25"/>
  <c r="O25" i="25"/>
  <c r="O26" i="25"/>
  <c r="O27" i="25"/>
  <c r="O28" i="25"/>
  <c r="O29" i="25"/>
  <c r="O30" i="25"/>
  <c r="O31" i="25"/>
  <c r="O32" i="25"/>
  <c r="O33" i="25"/>
  <c r="O34" i="25"/>
  <c r="O35" i="25"/>
  <c r="O36" i="25"/>
  <c r="O9" i="25"/>
  <c r="G9" i="86" s="1"/>
  <c r="H9" i="86" s="1"/>
  <c r="O8" i="25"/>
  <c r="G8" i="86" s="1"/>
  <c r="H8" i="86" s="1"/>
  <c r="I9" i="25"/>
  <c r="D9" i="86" s="1"/>
  <c r="E9" i="86" s="1"/>
  <c r="I10" i="25"/>
  <c r="D10" i="86" s="1"/>
  <c r="E10" i="86" s="1"/>
  <c r="F10" i="86" s="1"/>
  <c r="I11" i="25"/>
  <c r="D11" i="86" s="1"/>
  <c r="E11" i="86" s="1"/>
  <c r="F11" i="86" s="1"/>
  <c r="I12" i="25"/>
  <c r="D12" i="86" s="1"/>
  <c r="E12" i="86" s="1"/>
  <c r="I13" i="25"/>
  <c r="D13" i="86" s="1"/>
  <c r="E13" i="86" s="1"/>
  <c r="I14" i="25"/>
  <c r="D14" i="86" s="1"/>
  <c r="E14" i="86" s="1"/>
  <c r="I15" i="25"/>
  <c r="D15" i="86" s="1"/>
  <c r="E15" i="86" s="1"/>
  <c r="I16" i="25"/>
  <c r="D16" i="86" s="1"/>
  <c r="E16" i="86" s="1"/>
  <c r="I17" i="25"/>
  <c r="D17" i="86" s="1"/>
  <c r="E17" i="86" s="1"/>
  <c r="F17" i="86" s="1"/>
  <c r="I18" i="25"/>
  <c r="D18" i="86" s="1"/>
  <c r="E18" i="86" s="1"/>
  <c r="I19" i="25"/>
  <c r="D19" i="86" s="1"/>
  <c r="E19" i="86" s="1"/>
  <c r="F19" i="86" s="1"/>
  <c r="I20" i="25"/>
  <c r="D20" i="86" s="1"/>
  <c r="E20" i="86" s="1"/>
  <c r="I21" i="25"/>
  <c r="D21" i="86" s="1"/>
  <c r="E21" i="86" s="1"/>
  <c r="F21" i="86" s="1"/>
  <c r="I22" i="25"/>
  <c r="I23" i="25"/>
  <c r="I24" i="25"/>
  <c r="I25" i="25"/>
  <c r="I26" i="25"/>
  <c r="I27" i="25"/>
  <c r="I28" i="25"/>
  <c r="I29" i="25"/>
  <c r="I30" i="25"/>
  <c r="I31" i="25"/>
  <c r="I32" i="25"/>
  <c r="I33" i="25"/>
  <c r="I34" i="25"/>
  <c r="I35" i="25"/>
  <c r="I36" i="25"/>
  <c r="I8" i="25"/>
  <c r="D8" i="86" s="1"/>
  <c r="E8" i="86" s="1"/>
  <c r="F15" i="86" l="1"/>
  <c r="E9" i="84" s="1"/>
  <c r="S15" i="86"/>
  <c r="T15" i="86" s="1"/>
  <c r="D14" i="84"/>
  <c r="F20" i="86"/>
  <c r="E14" i="84" s="1"/>
  <c r="D6" i="84"/>
  <c r="F12" i="86"/>
  <c r="E6" i="84" s="1"/>
  <c r="G2" i="84"/>
  <c r="I8" i="86"/>
  <c r="H2" i="84" s="1"/>
  <c r="G12" i="84"/>
  <c r="I18" i="86"/>
  <c r="H12" i="84" s="1"/>
  <c r="G8" i="84"/>
  <c r="I14" i="86"/>
  <c r="H8" i="84" s="1"/>
  <c r="G4" i="84"/>
  <c r="I10" i="86"/>
  <c r="H4" i="84" s="1"/>
  <c r="J18" i="84"/>
  <c r="K18" i="84"/>
  <c r="J10" i="84"/>
  <c r="L16" i="86"/>
  <c r="K10" i="84" s="1"/>
  <c r="J6" i="84"/>
  <c r="L12" i="86"/>
  <c r="K6" i="84" s="1"/>
  <c r="G3" i="84"/>
  <c r="I9" i="86"/>
  <c r="H3" i="84" s="1"/>
  <c r="G11" i="84"/>
  <c r="I17" i="86"/>
  <c r="H11" i="84" s="1"/>
  <c r="G7" i="84"/>
  <c r="I13" i="86"/>
  <c r="H7" i="84" s="1"/>
  <c r="J9" i="84"/>
  <c r="K9" i="84"/>
  <c r="J5" i="84"/>
  <c r="L11" i="86"/>
  <c r="K5" i="84" s="1"/>
  <c r="P3" i="84"/>
  <c r="R9" i="86"/>
  <c r="Q3" i="84" s="1"/>
  <c r="P8" i="84"/>
  <c r="R14" i="86"/>
  <c r="Q8" i="84" s="1"/>
  <c r="P15" i="84"/>
  <c r="R21" i="86"/>
  <c r="Q15" i="84" s="1"/>
  <c r="P11" i="84"/>
  <c r="R17" i="86"/>
  <c r="Q11" i="84" s="1"/>
  <c r="P7" i="84"/>
  <c r="R13" i="86"/>
  <c r="Q7" i="84" s="1"/>
  <c r="D10" i="84"/>
  <c r="F16" i="86"/>
  <c r="E10" i="84" s="1"/>
  <c r="D16" i="84"/>
  <c r="E16" i="84"/>
  <c r="D12" i="84"/>
  <c r="F18" i="86"/>
  <c r="E12" i="84" s="1"/>
  <c r="D8" i="84"/>
  <c r="F14" i="86"/>
  <c r="E8" i="84" s="1"/>
  <c r="G18" i="84"/>
  <c r="H18" i="84"/>
  <c r="G14" i="84"/>
  <c r="I20" i="86"/>
  <c r="H14" i="84" s="1"/>
  <c r="G10" i="84"/>
  <c r="I16" i="86"/>
  <c r="H10" i="84" s="1"/>
  <c r="G6" i="84"/>
  <c r="I12" i="86"/>
  <c r="H6" i="84" s="1"/>
  <c r="J2" i="84"/>
  <c r="L8" i="86"/>
  <c r="K2" i="84" s="1"/>
  <c r="J12" i="84"/>
  <c r="L18" i="86"/>
  <c r="K12" i="84" s="1"/>
  <c r="J8" i="84"/>
  <c r="L14" i="86"/>
  <c r="K8" i="84" s="1"/>
  <c r="J4" i="84"/>
  <c r="L10" i="86"/>
  <c r="K4" i="84" s="1"/>
  <c r="P4" i="84"/>
  <c r="R10" i="86"/>
  <c r="Q4" i="84" s="1"/>
  <c r="S8" i="86"/>
  <c r="T8" i="86" s="1"/>
  <c r="F8" i="86"/>
  <c r="E2" i="84" s="1"/>
  <c r="D7" i="84"/>
  <c r="F13" i="86"/>
  <c r="E7" i="84" s="1"/>
  <c r="D3" i="84"/>
  <c r="F9" i="86"/>
  <c r="E3" i="84" s="1"/>
  <c r="G9" i="84"/>
  <c r="H9" i="84"/>
  <c r="G5" i="84"/>
  <c r="I11" i="86"/>
  <c r="H5" i="84" s="1"/>
  <c r="J3" i="84"/>
  <c r="L9" i="86"/>
  <c r="K3" i="84" s="1"/>
  <c r="J11" i="84"/>
  <c r="L17" i="86"/>
  <c r="K11" i="84" s="1"/>
  <c r="J7" i="84"/>
  <c r="L13" i="86"/>
  <c r="K7" i="84" s="1"/>
  <c r="P18" i="84"/>
  <c r="Q18" i="84"/>
  <c r="P14" i="84"/>
  <c r="R20" i="86"/>
  <c r="Q14" i="84" s="1"/>
  <c r="P10" i="84"/>
  <c r="R16" i="86"/>
  <c r="Q10" i="84" s="1"/>
  <c r="P6" i="84"/>
  <c r="R12" i="86"/>
  <c r="Q6" i="84" s="1"/>
  <c r="P17" i="84"/>
  <c r="Q17" i="84"/>
  <c r="P9" i="84"/>
  <c r="Q9" i="84"/>
  <c r="P5" i="84"/>
  <c r="R11" i="86"/>
  <c r="Q5" i="84" s="1"/>
  <c r="Q16" i="84"/>
  <c r="P16" i="84"/>
  <c r="Q12" i="84"/>
  <c r="P12" i="84"/>
  <c r="Q13" i="84"/>
  <c r="P13" i="84"/>
  <c r="N3" i="84"/>
  <c r="M3" i="84"/>
  <c r="N18" i="84"/>
  <c r="M18" i="84"/>
  <c r="N14" i="84"/>
  <c r="M14" i="84"/>
  <c r="N10" i="84"/>
  <c r="M10" i="84"/>
  <c r="N2" i="84"/>
  <c r="M2" i="84"/>
  <c r="N4" i="84"/>
  <c r="M4" i="84"/>
  <c r="N17" i="84"/>
  <c r="M17" i="84"/>
  <c r="N15" i="84"/>
  <c r="M15" i="84"/>
  <c r="N13" i="84"/>
  <c r="M13" i="84"/>
  <c r="N11" i="84"/>
  <c r="M11" i="84"/>
  <c r="N9" i="84"/>
  <c r="M9" i="84"/>
  <c r="N7" i="84"/>
  <c r="M7" i="84"/>
  <c r="N5" i="84"/>
  <c r="M5" i="84"/>
  <c r="N16" i="84"/>
  <c r="M16" i="84"/>
  <c r="N12" i="84"/>
  <c r="M12" i="84"/>
  <c r="N8" i="84"/>
  <c r="M8" i="84"/>
  <c r="N6" i="84"/>
  <c r="M6" i="84"/>
  <c r="K17" i="84"/>
  <c r="J17" i="84"/>
  <c r="K13" i="84"/>
  <c r="J13" i="84"/>
  <c r="K16" i="84"/>
  <c r="J16" i="84"/>
  <c r="K14" i="84"/>
  <c r="J14" i="84"/>
  <c r="K15" i="84"/>
  <c r="J15" i="84"/>
  <c r="H16" i="84"/>
  <c r="G16" i="84"/>
  <c r="H17" i="84"/>
  <c r="G17" i="84"/>
  <c r="H15" i="84"/>
  <c r="G15" i="84"/>
  <c r="H13" i="84"/>
  <c r="G13" i="84"/>
  <c r="S10" i="86"/>
  <c r="D4" i="84"/>
  <c r="D17" i="84"/>
  <c r="S21" i="86"/>
  <c r="D15" i="84"/>
  <c r="S19" i="86"/>
  <c r="D13" i="84"/>
  <c r="S17" i="86"/>
  <c r="D11" i="84"/>
  <c r="D9" i="84"/>
  <c r="S11" i="86"/>
  <c r="D5" i="84"/>
  <c r="S20" i="86"/>
  <c r="S18" i="86"/>
  <c r="E13" i="84"/>
  <c r="E15" i="84"/>
  <c r="E17" i="84"/>
  <c r="S16" i="86"/>
  <c r="S14" i="86"/>
  <c r="T14" i="86" s="1"/>
  <c r="S12" i="86"/>
  <c r="S13" i="86"/>
  <c r="T13" i="86" s="1"/>
  <c r="S9" i="86"/>
  <c r="D2" i="84"/>
  <c r="E11" i="84"/>
  <c r="P2" i="84"/>
  <c r="E4" i="84"/>
  <c r="E5" i="84"/>
  <c r="M31" i="84"/>
  <c r="J31" i="84"/>
  <c r="G31" i="84"/>
  <c r="D31" i="84"/>
  <c r="S10" i="84" l="1"/>
  <c r="T16" i="86"/>
  <c r="T10" i="84" s="1"/>
  <c r="S11" i="84"/>
  <c r="T17" i="86"/>
  <c r="T11" i="84" s="1"/>
  <c r="S15" i="84"/>
  <c r="T21" i="86"/>
  <c r="T15" i="84" s="1"/>
  <c r="S4" i="84"/>
  <c r="T10" i="86"/>
  <c r="T4" i="84" s="1"/>
  <c r="D18" i="84"/>
  <c r="E18" i="84"/>
  <c r="S16" i="84"/>
  <c r="T16" i="84"/>
  <c r="S3" i="84"/>
  <c r="T9" i="86"/>
  <c r="T3" i="84" s="1"/>
  <c r="S5" i="84"/>
  <c r="T11" i="86"/>
  <c r="T5" i="84" s="1"/>
  <c r="S12" i="84"/>
  <c r="T18" i="86"/>
  <c r="T12" i="84" s="1"/>
  <c r="S6" i="84"/>
  <c r="T12" i="86"/>
  <c r="T6" i="84" s="1"/>
  <c r="S14" i="84"/>
  <c r="T20" i="86"/>
  <c r="T14" i="84" s="1"/>
  <c r="S9" i="84"/>
  <c r="T9" i="84"/>
  <c r="S13" i="84"/>
  <c r="T19" i="86"/>
  <c r="T13" i="84" s="1"/>
  <c r="S17" i="84"/>
  <c r="T17" i="84"/>
  <c r="T7" i="84"/>
  <c r="S7" i="84"/>
  <c r="T8" i="84"/>
  <c r="S8" i="84"/>
  <c r="T2" i="84"/>
  <c r="S2" i="84"/>
  <c r="Q2" i="84"/>
  <c r="K31" i="84"/>
  <c r="B3" i="84"/>
  <c r="B4" i="84" s="1"/>
  <c r="B5" i="84" s="1"/>
  <c r="B6" i="84" s="1"/>
  <c r="B7" i="84" s="1"/>
  <c r="B8" i="84" s="1"/>
  <c r="B9" i="84" s="1"/>
  <c r="B10" i="84" s="1"/>
  <c r="B11" i="84" s="1"/>
  <c r="B12" i="84" s="1"/>
  <c r="B13" i="84" s="1"/>
  <c r="B14" i="84" s="1"/>
  <c r="B15" i="84" s="1"/>
  <c r="B16" i="84" s="1"/>
  <c r="B17" i="84" s="1"/>
  <c r="B18" i="84" s="1"/>
  <c r="B19" i="84" s="1"/>
  <c r="B20" i="84" s="1"/>
  <c r="B21" i="84" s="1"/>
  <c r="B22" i="84" s="1"/>
  <c r="B23" i="84" s="1"/>
  <c r="B24" i="84" s="1"/>
  <c r="B25" i="84" s="1"/>
  <c r="B26" i="84" s="1"/>
  <c r="B27" i="84" s="1"/>
  <c r="B28" i="84" s="1"/>
  <c r="B29" i="84" s="1"/>
  <c r="B30" i="84" s="1"/>
  <c r="B9" i="25"/>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H31" i="84"/>
  <c r="T18" i="84" l="1"/>
  <c r="S18" i="84"/>
  <c r="E31" i="84"/>
  <c r="N31" i="84" l="1"/>
</calcChain>
</file>

<file path=xl/sharedStrings.xml><?xml version="1.0" encoding="utf-8"?>
<sst xmlns="http://schemas.openxmlformats.org/spreadsheetml/2006/main" count="131" uniqueCount="102">
  <si>
    <t>Rerata Daya Serap</t>
  </si>
  <si>
    <t>NO</t>
  </si>
  <si>
    <t>NAMA SISWA</t>
  </si>
  <si>
    <t xml:space="preserve">Semester/Tapel </t>
  </si>
  <si>
    <t>Pengembangan Moral Dan Nilai-Nilai Agama</t>
  </si>
  <si>
    <t>Pengamatan Kemampuan Siswa Dengan Skala Likert</t>
  </si>
  <si>
    <t>A = 5 = Amat Baik</t>
  </si>
  <si>
    <t>E = 1 = Kurang Sekali</t>
  </si>
  <si>
    <t>B = 4 = Baik</t>
  </si>
  <si>
    <t>KURIKULUM TINGKAT SATUAN PENDIDIKAN ANAK USIA DINI</t>
  </si>
  <si>
    <t>A</t>
  </si>
  <si>
    <t xml:space="preserve"> Istimewa</t>
  </si>
  <si>
    <t>sd</t>
  </si>
  <si>
    <t>A+</t>
  </si>
  <si>
    <t>Amat Baik</t>
  </si>
  <si>
    <t>B</t>
  </si>
  <si>
    <t>Baik</t>
  </si>
  <si>
    <t>C</t>
  </si>
  <si>
    <t>Cukup</t>
  </si>
  <si>
    <t>KUALIFIKASI PRESTASI</t>
  </si>
  <si>
    <t>SIMBUL  PRESTASI</t>
  </si>
  <si>
    <t>RENTANG NILAI</t>
  </si>
  <si>
    <t>PRESTASI HASIL BELAJAR ANAK USIA DINI</t>
  </si>
  <si>
    <t>Memeriksa/Menyetujui</t>
  </si>
  <si>
    <t>Kepala TKK Mater Dei</t>
  </si>
  <si>
    <t>Sr. Rita Maria  SPM, S.Pd</t>
  </si>
  <si>
    <t>KURIKULUM TINGKAT SATUAN PENDIDIKAN ANAK USIA DINI TK KATOLIK MATER DEI</t>
  </si>
  <si>
    <t>Sr. Rita Maria SPM, S.Pd</t>
  </si>
  <si>
    <t>TK  Kelompok B</t>
  </si>
  <si>
    <t>KD 1.1</t>
  </si>
  <si>
    <t>Mempercayai adanya Tuhan melalui ciptaan-Nya</t>
  </si>
  <si>
    <t>Menghargai diri sendiri, orang lain, dan lingkungan sekitar sebagai rasa syukur kepada Tuhan</t>
  </si>
  <si>
    <t>KD 1.2</t>
  </si>
  <si>
    <t>KD 2.13</t>
  </si>
  <si>
    <t>Memiliki perilaku yang mencerminkan sikap jujur</t>
  </si>
  <si>
    <t>KD 3.1 - 4.1</t>
  </si>
  <si>
    <t xml:space="preserve">Mengenal kegiatan beribadah sehari-hari. 
Melakukan  kegiatan  beribadah  sehari-hari dengan tuntunan orang dewasa
</t>
  </si>
  <si>
    <t>KD 3.2 - 4.2</t>
  </si>
  <si>
    <t>Mengenal perilaku baik sebagai cerminan akhlak mulia. Menunjukkan perilaku santun  sebagai cerminan akhlak mulia</t>
  </si>
  <si>
    <t>Deskripsi</t>
  </si>
  <si>
    <t>Positif</t>
  </si>
  <si>
    <t>Rekomendasi</t>
  </si>
  <si>
    <t>POSITIF</t>
  </si>
  <si>
    <t>REKOMENDASI</t>
  </si>
  <si>
    <t>DAFTAR NILAI KEMAMPUAN PENGEMBANGAN MORAL DAN AGAMA SISWA TK A</t>
  </si>
  <si>
    <t>T 1.1</t>
  </si>
  <si>
    <t>P1.2</t>
  </si>
  <si>
    <t>P1.1</t>
  </si>
  <si>
    <t>S11</t>
  </si>
  <si>
    <t>T 1.2</t>
  </si>
  <si>
    <t>S1.2</t>
  </si>
  <si>
    <t>T 2.13</t>
  </si>
  <si>
    <t>P2.13</t>
  </si>
  <si>
    <t>S2.13</t>
  </si>
  <si>
    <t>T3.1</t>
  </si>
  <si>
    <t>P3.1</t>
  </si>
  <si>
    <t>S3.1</t>
  </si>
  <si>
    <t>T3.2</t>
  </si>
  <si>
    <t>P3.2</t>
  </si>
  <si>
    <t>S3.2</t>
  </si>
  <si>
    <t>Rata</t>
  </si>
  <si>
    <t>R-pres</t>
  </si>
  <si>
    <t>Rata-rata</t>
  </si>
  <si>
    <t>R-Simbol</t>
  </si>
  <si>
    <t>: Satu / 2015-2016</t>
  </si>
  <si>
    <t>Pengembangan  Nilai-Nilai Agama Dan Moral</t>
  </si>
  <si>
    <t>TK  Kelompok PG3</t>
  </si>
  <si>
    <t>DAFTAR NILAI KEMAMPUAN PENGEMBANGAN MORAL DAN AGAMA SISWA PG3</t>
  </si>
  <si>
    <t>Untuk dapat mengenal kegiatan beribadah sehari-hari misalnya sikap doa dengan baik masih perlu bimbingan dan motivasi  dari para guru dan orang tua secara terus menerus. Terima kasih atas perhatian dan kerja samanya. Tuhan memberkati.</t>
  </si>
  <si>
    <t>Perkembangan Nilai-Nilai Agama dan Moral Nolan berkembang sesuai dengan usianya. Hal ini ditunjukkan oleh kemampuan Nolan dapat mempercayai adanya Tuhan melalui ciptaan-Nya misalnya membedakan benda hidup (tanaman, hewan, dan manusia) ciptaan Tuhan dan gambar benda mati (gambar tanaman, gambar hewan, dan gambar manusia) buatan manusia. Pertahankan dan tingkatkan prestasi di semester berikutnya. Terima kasih atas perhatian dan kerja samanya. Tuhan memberkati.</t>
  </si>
  <si>
    <t xml:space="preserve">Perkembangan Nilai-Nilai Agama dan Moral Valencia berkembang sesuai dengan usianya. Hal ini ditunjukkan oleh kemampuan Valencia dapat mempercayai adanya Tuhan melalui ciptaan-Nya misalnya membedakan benda hidup (tanaman, hewan, dan manusia) ciptaan Tuhan dan benda mati (gambar tanaman, gambar hewan, dan gambar manusia) buatan manusia. </t>
  </si>
  <si>
    <t>: Satu / 2019-2020</t>
  </si>
  <si>
    <t>Archie Manuel Ferbianto</t>
  </si>
  <si>
    <t>Carissa Ilona Thionne</t>
  </si>
  <si>
    <t>Dionysius Alexander Manurung</t>
  </si>
  <si>
    <t>Ethan Anka Wijaya</t>
  </si>
  <si>
    <t>Gregory Dresetutus Bangun</t>
  </si>
  <si>
    <t>Louisa Kinara Putri</t>
  </si>
  <si>
    <t>Nathania Anjani Hutagaol</t>
  </si>
  <si>
    <t>Nathaniel Axelio</t>
  </si>
  <si>
    <t>Oktaviany Hambali Putri</t>
  </si>
  <si>
    <t>Pelangi Belia Anugerah Siahaan</t>
  </si>
  <si>
    <t>Valencia Laura</t>
  </si>
  <si>
    <t>Yocelin Nathania Manalu</t>
  </si>
  <si>
    <t>Perkembangan Nilai-Nilai Agama dan Moral Archie berkembang sesuai dengan usianya. Hal ini ditunjukkan oleh kemampuan Archie mempercayai adanya Tuhan melalui ciptaan-Nya misalnya menyebutkan macam-macam ciptaan Tuhan (benda-benda langit dan berbagai macam binatang).</t>
  </si>
  <si>
    <t>Untuk dapat mengenal perilaku baik sebagai cerminan akhlak mulia misalnya bertutur kata lembut ketika membalas percakapan masih perlu bimbingan dan motivasi dari para guru dan orang tua secara terus menerus. Terima kasih atas perhatian dan kerja samanya. Tuhan memberkati.</t>
  </si>
  <si>
    <t>Perkembangan Nilai-Nilai Agama dan Moral Carissa berkembang sesuai dengan usianya. Hal ini ditunjukkan oleh kemampuan Carissa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t>
  </si>
  <si>
    <t>Perkembangan Nilai-Nilai Agama dan Moral Dionysius mulai berkembang sesuai dengan usianya. Hal ini ditunjukkan oleh kemampuan Dionysius dapat mempercayai adanya Tuhan melalui ciptaan-Nya misalnya menyebutkan macam-macam ciptaan Tuhan dan buatan manusia.</t>
  </si>
  <si>
    <t>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t>
  </si>
  <si>
    <t>Perkembangan Nilai-Nilai Agama dan Moral Ethan berkembang sesuai dengan usianya. Hal ini ditunjukkan oleh kemampuan Ethan memiliki perilaku yang mencerminkan sikap jujur misalnya dapat mengatakan yang sebenarnya dengan caranya sendiri terutama yang menyangkut tentang dirinya.</t>
  </si>
  <si>
    <t xml:space="preserve">Perkembangan Nilai-Nilai Agama dan Moral Gregory berkembang sesuai dengan usianya. Hal ini ditunjukkan oleh kemampuan Gregory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 </t>
  </si>
  <si>
    <t>Untuk dapat menghargai diri sendiri, orang lain, dan lingkungan sekitar sebagai rasa syukur kepada Tuhan misalnya mengucapkan "Puji Tuhan" sebagai tanda syukur dan dapat memiliki perilaku yang mencerminkan sikap jujur misalnya mengatakan alasan yang sebenarnya tidak menghabiskan bekalnya masih perlu bimbingan dan motivasi dari para guru dan orang tua secara terus menerus. Terima kasih atas perhatian dan kerja samanya. Tuhan memberkati.</t>
  </si>
  <si>
    <t>Perkembangan Nilai-Nilai Agama dan Moral Anjani berkembang sesuai dengan usianya. Hal ini ditunjukkan oleh kemampuan Anjani dapat mempercayai adanya Tuhan misalnya mengenal macam-macam ciptaan Tuhan dan membedakan dengan buatan manusia. Pertahankan dan tingkatkan prestasi di kelompok A. Terima kasih atas perhatian dan kerja samanya. Tuhan memberkati.</t>
  </si>
  <si>
    <t>Perkembangan Nilai-Nilai Agama dan Moral Axelio berkembang sesuai dengan usianya. Hal ini ditunjukkan oleh kemampuan Axelio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t>
  </si>
  <si>
    <t>Perkembangan Nilai-Nilai Agama dan Moral Oktaviany mulai berkembang sesuai dengan usianya. Hal ini ditunjukkan oleh kemampuan Oktaviany dapat mempercayai adanya Tuhan melalui ciptaan-Nya misalnya menyebutkan macam-macam ciptaan Tuhan.</t>
  </si>
  <si>
    <t>Perkembangan Nilai-Nilai Agama dan Moral Pelangi berkembang sesuai dengan usianya. Hal ini ditunjukkan oleh kemampuan Pelangi dapat memiliki perilaku yang mencerminkan sikap jujur misalnya menunjukkan kesesuaian sikap dan perasaan dan mengenal perilaku baik sebagai cerminan akhlak mulia misalnya mau diarahkan tentang tata cara makan yang baik (menggunakan tangan kanan)</t>
  </si>
  <si>
    <t>Untuk dapat mempercayai adanya Tuhan melalui ciptaan-Nya misalnya menyebutkan macam-macam ciptaan Tuhan dan menghargai diri sendiri, orang lain, dan lingkungan sekitar sebagai rasa syukur kepada Tuhan misalnya mengucapkan "Puji Tuhan" masih perlu bimbingan dan motivasi  dari para guru dan orang tua secara terus menerus. Terima kasih atas perhatian dan kerja samanya. Tuhan memberkati.</t>
  </si>
  <si>
    <t>Perkembangan Nilai-Nilai Agama dan Moral Laura berkembang sesuai dengan usianya. Hal ini ditunjukkan oleh kemampuan Laura dapat mempercayai adanya Tuhan misalnya mengenal macam-macam ciptaan Tuhan dan membedakan dengan buatan manusia.</t>
  </si>
  <si>
    <t>Untuk dapat menghargai diri sendiri, orang lain, dan lingkungan sekitar sebagai rasa syukur kepada Tuhan misalnya mengucapkan "Puji Tuhan" sebagai tanda syukur dan dapat memiliki perilaku yang mencerminkan sikap jujur misalnya tidak menyembunyikan potongan kertas saat membuat kolase masih perlu bimbingan dan motivasi dari para guru dan orang tua secara terus menerus. Terima kasih atas perhatian dan kerja samanya. Tuhan memberkati.</t>
  </si>
  <si>
    <t>Perkembangan Nilai-Nilai Agama dan Moral Nathania berkembang sesuai dengan usianya. Hal ini ditunjukkan oleh kemampuan Nathania dapat mempercayai adanya Tuhan misalnya mengenal macam-macam ciptaan Tuhan dan mengenal perilaku baik sebagai cerminan akhlak mulia misalnya bertutur kata sopan terhadap orang tua.</t>
  </si>
  <si>
    <t>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t>
  </si>
  <si>
    <t>Perkembangan Nilai-Nilai Agama dan Moral Kinara berkembang sesuai dengan usianya. Hal ini ditunjukkan oleh kemampuan Kinara dapat mempercayai adanya Tuhan misalnya mengenal macam-macam ciptaan Tuhan dan membedakan dengan buatan manusia.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</si>
</sst>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3">
    <font>
      <sz val="10"/>
      <name val="Arial"/>
      <charset val="1"/>
    </font>
    <font>
      <sz val="10"/>
      <name val="Arial"/>
      <family val="2"/>
    </font>
    <font>
      <sz val="14"/>
      <name val="Arial"/>
      <family val="2"/>
    </font>
    <font>
      <b/>
      <sz val="12"/>
      <name val="Arial"/>
      <family val="2"/>
    </font>
    <font>
      <sz val="12"/>
      <name val="Arial"/>
      <family val="2"/>
    </font>
    <font>
      <b/>
      <sz val="10"/>
      <name val="Arial"/>
      <family val="2"/>
    </font>
    <font>
      <sz val="10"/>
      <name val="Arial"/>
      <family val="2"/>
    </font>
    <font>
      <sz val="12"/>
      <name val="Arial"/>
      <family val="2"/>
    </font>
    <font>
      <b/>
      <sz val="14"/>
      <name val="Arial"/>
      <family val="2"/>
    </font>
    <font>
      <sz val="12"/>
      <name val="Monotype Corsiva"/>
      <family val="4"/>
    </font>
    <font>
      <sz val="8"/>
      <name val="Arial"/>
      <family val="2"/>
    </font>
    <font>
      <sz val="12"/>
      <name val="Symbol"/>
      <family val="1"/>
      <charset val="2"/>
    </font>
    <font>
      <sz val="10"/>
      <name val="Arial Narrow"/>
      <family val="2"/>
    </font>
    <font>
      <sz val="11"/>
      <name val="Arial"/>
      <family val="2"/>
    </font>
    <font>
      <sz val="10"/>
      <color rgb="FF000000"/>
      <name val="Arial Narrow"/>
      <family val="2"/>
    </font>
    <font>
      <sz val="11"/>
      <color rgb="FF000000"/>
      <name val="Arial Narrow"/>
      <family val="2"/>
    </font>
    <font>
      <sz val="12"/>
      <name val="Times New Roman"/>
      <family val="1"/>
    </font>
    <font>
      <sz val="11"/>
      <color theme="1"/>
      <name val="Andalus"/>
      <family val="1"/>
    </font>
    <font>
      <sz val="11"/>
      <name val="Andalus"/>
      <family val="1"/>
    </font>
    <font>
      <sz val="11"/>
      <color theme="1"/>
      <name val="Times New Roman"/>
      <family val="1"/>
    </font>
    <font>
      <sz val="12"/>
      <color theme="1"/>
      <name val="Times New Roman"/>
      <family val="1"/>
    </font>
    <font>
      <sz val="11"/>
      <name val="Times New Roman"/>
      <family val="1"/>
    </font>
    <font>
      <sz val="10"/>
      <name val="Maiandra GD"/>
      <charset val="134"/>
    </font>
  </fonts>
  <fills count="11">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FF66FF"/>
        <bgColor indexed="64"/>
      </patternFill>
    </fill>
    <fill>
      <patternFill patternType="solid">
        <fgColor rgb="FFFF99FF"/>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6"/>
        <bgColor indexed="64"/>
      </patternFill>
    </fill>
    <fill>
      <patternFill patternType="solid">
        <fgColor rgb="FF00B0F0"/>
        <bgColor indexed="64"/>
      </patternFill>
    </fill>
  </fills>
  <borders count="58">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top style="double">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diagonal/>
    </border>
    <border>
      <left style="double">
        <color indexed="64"/>
      </left>
      <right style="medium">
        <color indexed="64"/>
      </right>
      <top style="double">
        <color indexed="64"/>
      </top>
      <bottom/>
      <diagonal/>
    </border>
    <border>
      <left style="double">
        <color indexed="64"/>
      </left>
      <right style="medium">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double">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double">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97">
    <xf numFmtId="0" fontId="0" fillId="0" borderId="0" xfId="0"/>
    <xf numFmtId="0" fontId="2" fillId="0" borderId="0" xfId="0" applyFont="1"/>
    <xf numFmtId="0" fontId="0" fillId="0" borderId="1" xfId="0" applyBorder="1"/>
    <xf numFmtId="0" fontId="0" fillId="0" borderId="2" xfId="0" applyBorder="1"/>
    <xf numFmtId="0" fontId="3" fillId="0" borderId="3" xfId="0" applyFont="1" applyBorder="1"/>
    <xf numFmtId="0" fontId="4" fillId="0" borderId="4" xfId="0" applyFont="1" applyBorder="1"/>
    <xf numFmtId="0" fontId="3" fillId="0" borderId="5" xfId="0" applyFont="1" applyBorder="1"/>
    <xf numFmtId="0" fontId="4" fillId="0" borderId="0" xfId="0" applyFont="1" applyBorder="1"/>
    <xf numFmtId="0" fontId="3" fillId="0" borderId="0" xfId="0" applyFont="1" applyBorder="1"/>
    <xf numFmtId="0" fontId="3" fillId="0" borderId="6" xfId="0" applyFont="1" applyBorder="1"/>
    <xf numFmtId="0" fontId="4" fillId="0" borderId="7" xfId="0" applyFont="1" applyBorder="1"/>
    <xf numFmtId="0" fontId="11" fillId="0" borderId="7" xfId="0" applyFont="1" applyBorder="1" applyAlignment="1">
      <alignment horizontal="left" vertical="top" wrapText="1" indent="2"/>
    </xf>
    <xf numFmtId="0" fontId="0" fillId="0" borderId="0" xfId="0" applyBorder="1"/>
    <xf numFmtId="0" fontId="8" fillId="2" borderId="2" xfId="0" applyFont="1" applyFill="1" applyBorder="1" applyAlignment="1">
      <alignment horizontal="center" vertical="center"/>
    </xf>
    <xf numFmtId="0" fontId="8" fillId="0" borderId="8" xfId="0" applyFont="1" applyBorder="1" applyAlignment="1">
      <alignment vertical="center"/>
    </xf>
    <xf numFmtId="2" fontId="8" fillId="0" borderId="9" xfId="0" applyNumberFormat="1" applyFont="1" applyBorder="1" applyAlignment="1">
      <alignment vertical="center"/>
    </xf>
    <xf numFmtId="0" fontId="8" fillId="0" borderId="9" xfId="0" applyFont="1" applyBorder="1" applyAlignment="1">
      <alignment vertical="center"/>
    </xf>
    <xf numFmtId="2" fontId="8" fillId="0" borderId="10" xfId="0" applyNumberFormat="1" applyFont="1" applyBorder="1" applyAlignment="1">
      <alignment vertical="center"/>
    </xf>
    <xf numFmtId="0" fontId="8" fillId="2" borderId="1" xfId="0" applyFont="1" applyFill="1" applyBorder="1" applyAlignment="1">
      <alignment horizontal="center" vertical="center"/>
    </xf>
    <xf numFmtId="0" fontId="8" fillId="0" borderId="6"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2" fontId="8" fillId="0" borderId="8" xfId="0" applyNumberFormat="1" applyFont="1" applyBorder="1" applyAlignment="1">
      <alignment vertical="center"/>
    </xf>
    <xf numFmtId="0" fontId="8" fillId="0" borderId="10" xfId="0" applyFont="1" applyBorder="1" applyAlignment="1">
      <alignment vertical="center"/>
    </xf>
    <xf numFmtId="2" fontId="4" fillId="3" borderId="11" xfId="0" applyNumberFormat="1" applyFont="1" applyFill="1" applyBorder="1" applyAlignment="1">
      <alignment vertical="center" shrinkToFit="1"/>
    </xf>
    <xf numFmtId="2" fontId="7" fillId="3" borderId="11" xfId="0" applyNumberFormat="1" applyFont="1" applyFill="1" applyBorder="1" applyAlignment="1">
      <alignment vertical="center" shrinkToFit="1"/>
    </xf>
    <xf numFmtId="0" fontId="0" fillId="0" borderId="12" xfId="0" applyBorder="1" applyAlignment="1">
      <alignment horizontal="center"/>
    </xf>
    <xf numFmtId="0" fontId="1" fillId="0" borderId="0" xfId="0" applyFont="1"/>
    <xf numFmtId="0" fontId="13" fillId="3" borderId="15" xfId="0" applyFont="1" applyFill="1" applyBorder="1" applyAlignment="1">
      <alignment horizontal="center" vertical="center" shrinkToFit="1"/>
    </xf>
    <xf numFmtId="0" fontId="13" fillId="3" borderId="11" xfId="0" applyFont="1" applyFill="1" applyBorder="1" applyAlignment="1">
      <alignment horizontal="center" vertical="center" shrinkToFit="1"/>
    </xf>
    <xf numFmtId="0" fontId="0" fillId="3" borderId="16" xfId="0" applyFill="1" applyBorder="1" applyAlignment="1">
      <alignment horizontal="center" vertical="center"/>
    </xf>
    <xf numFmtId="0" fontId="0" fillId="3" borderId="17" xfId="0" applyFill="1" applyBorder="1" applyAlignment="1">
      <alignment horizontal="center" vertical="center"/>
    </xf>
    <xf numFmtId="164" fontId="7" fillId="3" borderId="11" xfId="0" applyNumberFormat="1" applyFont="1" applyFill="1" applyBorder="1" applyAlignment="1">
      <alignment vertical="center" shrinkToFit="1"/>
    </xf>
    <xf numFmtId="0" fontId="0" fillId="0" borderId="15" xfId="0" applyBorder="1" applyAlignment="1">
      <alignment horizontal="center" vertical="center"/>
    </xf>
    <xf numFmtId="0" fontId="13" fillId="3" borderId="21" xfId="0" applyFont="1" applyFill="1" applyBorder="1" applyAlignment="1">
      <alignment horizontal="center" vertical="center" shrinkToFit="1"/>
    </xf>
    <xf numFmtId="0" fontId="13" fillId="3" borderId="22" xfId="0" applyFont="1" applyFill="1" applyBorder="1" applyAlignment="1">
      <alignment horizontal="center" vertical="center" shrinkToFit="1"/>
    </xf>
    <xf numFmtId="0" fontId="13" fillId="3" borderId="23" xfId="0" applyFont="1" applyFill="1" applyBorder="1" applyAlignment="1">
      <alignment horizontal="center" vertical="center" shrinkToFit="1"/>
    </xf>
    <xf numFmtId="0" fontId="13" fillId="3" borderId="24" xfId="0" applyFont="1" applyFill="1" applyBorder="1" applyAlignment="1">
      <alignment horizontal="center" vertical="center" shrinkToFit="1"/>
    </xf>
    <xf numFmtId="2" fontId="13" fillId="4" borderId="20" xfId="0" applyNumberFormat="1" applyFont="1" applyFill="1" applyBorder="1" applyAlignment="1">
      <alignment horizontal="center" vertical="center" shrinkToFit="1"/>
    </xf>
    <xf numFmtId="2" fontId="13" fillId="5" borderId="25" xfId="0" applyNumberFormat="1" applyFont="1" applyFill="1" applyBorder="1" applyAlignment="1">
      <alignment horizontal="center" vertical="center" shrinkToFit="1"/>
    </xf>
    <xf numFmtId="2" fontId="13" fillId="5" borderId="28" xfId="0" applyNumberFormat="1" applyFont="1" applyFill="1" applyBorder="1" applyAlignment="1">
      <alignment horizontal="center" vertical="center" shrinkToFit="1"/>
    </xf>
    <xf numFmtId="2" fontId="13" fillId="5" borderId="20" xfId="0" applyNumberFormat="1" applyFont="1" applyFill="1" applyBorder="1" applyAlignment="1">
      <alignment horizontal="center" vertical="center" shrinkToFit="1"/>
    </xf>
    <xf numFmtId="0" fontId="0" fillId="0" borderId="29" xfId="0" applyBorder="1"/>
    <xf numFmtId="0" fontId="1" fillId="3" borderId="29" xfId="0" applyFont="1" applyFill="1" applyBorder="1" applyAlignment="1">
      <alignment horizontal="center" vertical="center" shrinkToFit="1"/>
    </xf>
    <xf numFmtId="0" fontId="0" fillId="3" borderId="29" xfId="0" applyFill="1" applyBorder="1" applyAlignment="1">
      <alignment horizontal="center" vertical="center" shrinkToFit="1"/>
    </xf>
    <xf numFmtId="2" fontId="1" fillId="3" borderId="29" xfId="0" applyNumberFormat="1" applyFont="1" applyFill="1" applyBorder="1" applyAlignment="1">
      <alignment horizontal="center" vertical="center" shrinkToFit="1"/>
    </xf>
    <xf numFmtId="2" fontId="0" fillId="3" borderId="29" xfId="0" applyNumberFormat="1" applyFill="1" applyBorder="1" applyAlignment="1">
      <alignment horizontal="center" vertical="center" shrinkToFit="1"/>
    </xf>
    <xf numFmtId="2" fontId="6" fillId="3" borderId="29" xfId="0" applyNumberFormat="1" applyFont="1" applyFill="1" applyBorder="1" applyAlignment="1">
      <alignment horizontal="center" vertical="center" shrinkToFit="1"/>
    </xf>
    <xf numFmtId="0" fontId="12" fillId="0" borderId="26" xfId="0" applyFont="1" applyBorder="1" applyAlignment="1">
      <alignment horizontal="left" vertical="center"/>
    </xf>
    <xf numFmtId="2" fontId="6" fillId="3" borderId="27" xfId="0" applyNumberFormat="1" applyFont="1" applyFill="1" applyBorder="1" applyAlignment="1">
      <alignment shrinkToFit="1"/>
    </xf>
    <xf numFmtId="0" fontId="13" fillId="3" borderId="35" xfId="0" applyFont="1" applyFill="1" applyBorder="1" applyAlignment="1">
      <alignment horizontal="center" vertical="center" shrinkToFit="1"/>
    </xf>
    <xf numFmtId="2" fontId="13" fillId="4" borderId="34" xfId="0" applyNumberFormat="1" applyFont="1" applyFill="1" applyBorder="1" applyAlignment="1">
      <alignment horizontal="center" vertical="center" shrinkToFit="1"/>
    </xf>
    <xf numFmtId="2" fontId="13" fillId="5" borderId="34" xfId="0" applyNumberFormat="1" applyFont="1" applyFill="1" applyBorder="1" applyAlignment="1">
      <alignment horizontal="center" vertical="center" shrinkToFit="1"/>
    </xf>
    <xf numFmtId="0" fontId="15" fillId="0" borderId="0" xfId="0" applyFont="1"/>
    <xf numFmtId="0" fontId="16" fillId="0" borderId="11" xfId="0" applyFont="1" applyFill="1" applyBorder="1" applyAlignment="1">
      <alignment vertical="center" shrinkToFit="1"/>
    </xf>
    <xf numFmtId="0" fontId="16" fillId="0" borderId="11" xfId="0" applyFont="1" applyFill="1" applyBorder="1" applyAlignment="1">
      <alignment horizontal="left" vertical="center" shrinkToFit="1"/>
    </xf>
    <xf numFmtId="0" fontId="8" fillId="0" borderId="0" xfId="0" applyFont="1" applyAlignment="1">
      <alignment horizontal="center"/>
    </xf>
    <xf numFmtId="0" fontId="14" fillId="0" borderId="39" xfId="0" applyFont="1" applyBorder="1" applyAlignment="1">
      <alignment horizontal="left" vertical="center"/>
    </xf>
    <xf numFmtId="0" fontId="5" fillId="3" borderId="31" xfId="0" applyFont="1" applyFill="1" applyBorder="1" applyAlignment="1">
      <alignment vertical="center"/>
    </xf>
    <xf numFmtId="0" fontId="5" fillId="3" borderId="19" xfId="0" applyFont="1" applyFill="1" applyBorder="1" applyAlignment="1">
      <alignment vertical="center"/>
    </xf>
    <xf numFmtId="0" fontId="5" fillId="3" borderId="32" xfId="0" applyFont="1" applyFill="1" applyBorder="1" applyAlignment="1">
      <alignment vertical="center"/>
    </xf>
    <xf numFmtId="0" fontId="5" fillId="3" borderId="33" xfId="0" applyFont="1" applyFill="1" applyBorder="1" applyAlignment="1">
      <alignment vertical="center"/>
    </xf>
    <xf numFmtId="2" fontId="13" fillId="5" borderId="37" xfId="0" applyNumberFormat="1" applyFont="1" applyFill="1" applyBorder="1" applyAlignment="1">
      <alignment horizontal="center" vertical="center" shrinkToFit="1"/>
    </xf>
    <xf numFmtId="2" fontId="13" fillId="5" borderId="38" xfId="0" applyNumberFormat="1" applyFont="1" applyFill="1" applyBorder="1" applyAlignment="1">
      <alignment horizontal="center" vertical="center" shrinkToFit="1"/>
    </xf>
    <xf numFmtId="0" fontId="4" fillId="6" borderId="13" xfId="0" applyFont="1" applyFill="1" applyBorder="1" applyAlignment="1">
      <alignment horizontal="center" vertical="center" shrinkToFit="1"/>
    </xf>
    <xf numFmtId="2" fontId="13" fillId="5" borderId="13" xfId="0" applyNumberFormat="1" applyFont="1" applyFill="1" applyBorder="1" applyAlignment="1">
      <alignment horizontal="center" vertical="center" shrinkToFit="1"/>
    </xf>
    <xf numFmtId="2" fontId="0" fillId="0" borderId="40" xfId="0" applyNumberFormat="1" applyBorder="1" applyAlignment="1">
      <alignment horizontal="center" vertical="center"/>
    </xf>
    <xf numFmtId="2" fontId="0" fillId="0" borderId="26" xfId="0" applyNumberFormat="1" applyBorder="1" applyAlignment="1">
      <alignment horizontal="center" vertical="center"/>
    </xf>
    <xf numFmtId="0" fontId="4" fillId="6" borderId="28" xfId="0" applyFont="1" applyFill="1" applyBorder="1" applyAlignment="1">
      <alignment horizontal="center" vertical="center" shrinkToFit="1"/>
    </xf>
    <xf numFmtId="0" fontId="4" fillId="6" borderId="26" xfId="0" applyFont="1" applyFill="1" applyBorder="1" applyAlignment="1">
      <alignment horizontal="center" vertical="center" shrinkToFit="1"/>
    </xf>
    <xf numFmtId="2" fontId="13" fillId="0" borderId="14" xfId="0" applyNumberFormat="1" applyFont="1" applyFill="1" applyBorder="1" applyAlignment="1">
      <alignment horizontal="center" vertical="center" shrinkToFit="1"/>
    </xf>
    <xf numFmtId="2" fontId="13" fillId="0" borderId="35" xfId="0" applyNumberFormat="1" applyFont="1" applyFill="1" applyBorder="1" applyAlignment="1">
      <alignment horizontal="center" vertical="center" shrinkToFit="1"/>
    </xf>
    <xf numFmtId="0" fontId="4" fillId="6" borderId="27" xfId="0" applyFont="1" applyFill="1" applyBorder="1" applyAlignment="1">
      <alignment horizontal="center" vertical="center" shrinkToFit="1"/>
    </xf>
    <xf numFmtId="2" fontId="13" fillId="0" borderId="13" xfId="0" applyNumberFormat="1" applyFont="1" applyFill="1" applyBorder="1" applyAlignment="1">
      <alignment horizontal="center" vertical="center" shrinkToFit="1"/>
    </xf>
    <xf numFmtId="2" fontId="13" fillId="0" borderId="27" xfId="0" applyNumberFormat="1" applyFont="1" applyFill="1" applyBorder="1" applyAlignment="1">
      <alignment horizontal="center" vertical="center" shrinkToFit="1"/>
    </xf>
    <xf numFmtId="2" fontId="6" fillId="3" borderId="35" xfId="0" applyNumberFormat="1" applyFont="1" applyFill="1" applyBorder="1" applyAlignment="1">
      <alignment horizontal="center" vertical="center" shrinkToFit="1"/>
    </xf>
    <xf numFmtId="2" fontId="6" fillId="3" borderId="34" xfId="0" applyNumberFormat="1" applyFont="1" applyFill="1" applyBorder="1" applyAlignment="1">
      <alignment horizontal="center" vertical="center" shrinkToFit="1"/>
    </xf>
    <xf numFmtId="2" fontId="6" fillId="3" borderId="27" xfId="0" applyNumberFormat="1" applyFont="1" applyFill="1" applyBorder="1" applyAlignment="1">
      <alignment horizontal="center" vertical="center" shrinkToFit="1"/>
    </xf>
    <xf numFmtId="2" fontId="6" fillId="3" borderId="27" xfId="0" applyNumberFormat="1" applyFont="1" applyFill="1" applyBorder="1" applyAlignment="1">
      <alignment horizontal="center" shrinkToFit="1"/>
    </xf>
    <xf numFmtId="0" fontId="3" fillId="0" borderId="45" xfId="0" applyFont="1" applyBorder="1" applyAlignment="1">
      <alignment horizontal="center" vertical="center" textRotation="90"/>
    </xf>
    <xf numFmtId="0" fontId="3" fillId="0" borderId="46" xfId="0" applyFont="1" applyBorder="1" applyAlignment="1">
      <alignment horizontal="center" vertical="center" textRotation="90"/>
    </xf>
    <xf numFmtId="0" fontId="4" fillId="6" borderId="47" xfId="0" applyFont="1" applyFill="1" applyBorder="1" applyAlignment="1">
      <alignment horizontal="center" vertical="center" shrinkToFit="1"/>
    </xf>
    <xf numFmtId="0" fontId="0" fillId="0" borderId="15" xfId="0" applyBorder="1"/>
    <xf numFmtId="0" fontId="0" fillId="0" borderId="26" xfId="0" applyBorder="1"/>
    <xf numFmtId="0" fontId="0" fillId="0" borderId="23" xfId="0" applyBorder="1"/>
    <xf numFmtId="0" fontId="0" fillId="0" borderId="42" xfId="0" applyBorder="1"/>
    <xf numFmtId="0" fontId="9" fillId="0" borderId="27" xfId="0" applyFont="1" applyBorder="1"/>
    <xf numFmtId="0" fontId="0" fillId="0" borderId="27" xfId="0" applyBorder="1"/>
    <xf numFmtId="0" fontId="5" fillId="0" borderId="29" xfId="0" applyFont="1" applyBorder="1" applyAlignment="1">
      <alignment horizontal="center" vertical="center" shrinkToFit="1"/>
    </xf>
    <xf numFmtId="0" fontId="5" fillId="0" borderId="29" xfId="0" applyFont="1" applyBorder="1" applyAlignment="1">
      <alignment horizontal="center" vertical="center"/>
    </xf>
    <xf numFmtId="2" fontId="7" fillId="3" borderId="27" xfId="0" applyNumberFormat="1" applyFont="1" applyFill="1" applyBorder="1" applyAlignment="1">
      <alignment vertical="center" shrinkToFit="1"/>
    </xf>
    <xf numFmtId="2" fontId="0" fillId="3" borderId="48" xfId="0" applyNumberFormat="1" applyFill="1" applyBorder="1" applyAlignment="1">
      <alignment horizontal="center" vertical="center" shrinkToFit="1"/>
    </xf>
    <xf numFmtId="2" fontId="7" fillId="3" borderId="27" xfId="0" applyNumberFormat="1" applyFont="1" applyFill="1" applyBorder="1" applyAlignment="1">
      <alignment horizontal="center" vertical="center" shrinkToFit="1"/>
    </xf>
    <xf numFmtId="0" fontId="8" fillId="0" borderId="0" xfId="0" applyFont="1" applyAlignment="1">
      <alignment horizontal="center"/>
    </xf>
    <xf numFmtId="0" fontId="5" fillId="3" borderId="50" xfId="0" applyFont="1" applyFill="1" applyBorder="1" applyAlignment="1">
      <alignment vertical="center"/>
    </xf>
    <xf numFmtId="2" fontId="4" fillId="0" borderId="52" xfId="0" applyNumberFormat="1" applyFont="1" applyFill="1" applyBorder="1" applyAlignment="1">
      <alignment horizontal="center" vertical="center" shrinkToFit="1"/>
    </xf>
    <xf numFmtId="2" fontId="4" fillId="0" borderId="36" xfId="0" applyNumberFormat="1" applyFont="1" applyFill="1" applyBorder="1" applyAlignment="1">
      <alignment horizontal="center" vertical="center" shrinkToFit="1"/>
    </xf>
    <xf numFmtId="0" fontId="17" fillId="7" borderId="11" xfId="0" applyFont="1" applyFill="1" applyBorder="1" applyAlignment="1">
      <alignment horizontal="left" vertical="center" shrinkToFit="1"/>
    </xf>
    <xf numFmtId="0" fontId="18" fillId="7" borderId="11" xfId="0" applyFont="1" applyFill="1" applyBorder="1" applyAlignment="1">
      <alignment vertical="center" shrinkToFit="1"/>
    </xf>
    <xf numFmtId="0" fontId="17" fillId="0" borderId="11" xfId="0" applyFont="1" applyBorder="1" applyAlignment="1">
      <alignment horizontal="left" vertical="center" shrinkToFit="1"/>
    </xf>
    <xf numFmtId="0" fontId="17" fillId="7" borderId="29" xfId="0" applyFont="1" applyFill="1" applyBorder="1" applyAlignment="1">
      <alignment horizontal="left" vertical="center" shrinkToFit="1"/>
    </xf>
    <xf numFmtId="2" fontId="6" fillId="3" borderId="15" xfId="0" applyNumberFormat="1" applyFont="1" applyFill="1" applyBorder="1" applyAlignment="1">
      <alignment horizontal="center" vertical="center" shrinkToFit="1"/>
    </xf>
    <xf numFmtId="2" fontId="6" fillId="3" borderId="21" xfId="0" applyNumberFormat="1" applyFont="1" applyFill="1" applyBorder="1" applyAlignment="1">
      <alignment horizontal="center" vertical="center" shrinkToFit="1"/>
    </xf>
    <xf numFmtId="2" fontId="6" fillId="3" borderId="11" xfId="0" applyNumberFormat="1" applyFont="1" applyFill="1" applyBorder="1" applyAlignment="1">
      <alignment horizontal="center" vertical="center" shrinkToFit="1"/>
    </xf>
    <xf numFmtId="2" fontId="6" fillId="3" borderId="11" xfId="0" applyNumberFormat="1" applyFont="1" applyFill="1" applyBorder="1" applyAlignment="1">
      <alignment horizontal="center" shrinkToFit="1"/>
    </xf>
    <xf numFmtId="2" fontId="7" fillId="3" borderId="11" xfId="0" applyNumberFormat="1" applyFont="1" applyFill="1" applyBorder="1" applyAlignment="1">
      <alignment horizontal="center" vertical="center" shrinkToFit="1"/>
    </xf>
    <xf numFmtId="2" fontId="13" fillId="7" borderId="28" xfId="0" applyNumberFormat="1" applyFont="1" applyFill="1" applyBorder="1" applyAlignment="1">
      <alignment horizontal="center" vertical="center" shrinkToFit="1"/>
    </xf>
    <xf numFmtId="0" fontId="19" fillId="0" borderId="11" xfId="0" applyFont="1" applyBorder="1" applyAlignment="1">
      <alignment horizontal="left" vertical="center" shrinkToFit="1"/>
    </xf>
    <xf numFmtId="0" fontId="19" fillId="0" borderId="55" xfId="0" applyFont="1" applyBorder="1" applyAlignment="1">
      <alignment horizontal="left" vertical="center" shrinkToFit="1"/>
    </xf>
    <xf numFmtId="0" fontId="19" fillId="7" borderId="11" xfId="0" applyFont="1" applyFill="1" applyBorder="1" applyAlignment="1">
      <alignment horizontal="left" vertical="center" shrinkToFit="1"/>
    </xf>
    <xf numFmtId="0" fontId="20" fillId="7" borderId="11" xfId="0" applyFont="1" applyFill="1" applyBorder="1"/>
    <xf numFmtId="164" fontId="13" fillId="3" borderId="13" xfId="0" applyNumberFormat="1" applyFont="1" applyFill="1" applyBorder="1" applyAlignment="1">
      <alignment horizontal="center" vertical="center" shrinkToFit="1"/>
    </xf>
    <xf numFmtId="164" fontId="13" fillId="3" borderId="20" xfId="0" applyNumberFormat="1" applyFont="1" applyFill="1" applyBorder="1" applyAlignment="1">
      <alignment horizontal="center" vertical="center" shrinkToFit="1"/>
    </xf>
    <xf numFmtId="164" fontId="13" fillId="3" borderId="36" xfId="0" applyNumberFormat="1" applyFont="1" applyFill="1" applyBorder="1" applyAlignment="1">
      <alignment horizontal="center" vertical="center" shrinkToFit="1"/>
    </xf>
    <xf numFmtId="164" fontId="13" fillId="3" borderId="11" xfId="0" applyNumberFormat="1" applyFont="1" applyFill="1" applyBorder="1" applyAlignment="1">
      <alignment horizontal="center" vertical="center" shrinkToFit="1"/>
    </xf>
    <xf numFmtId="164" fontId="13" fillId="3" borderId="21" xfId="0" applyNumberFormat="1" applyFont="1" applyFill="1" applyBorder="1" applyAlignment="1">
      <alignment horizontal="center" vertical="center" shrinkToFit="1"/>
    </xf>
    <xf numFmtId="164" fontId="13" fillId="3" borderId="35" xfId="0" applyNumberFormat="1" applyFont="1" applyFill="1" applyBorder="1" applyAlignment="1">
      <alignment horizontal="center" vertical="center" shrinkToFit="1"/>
    </xf>
    <xf numFmtId="164" fontId="13" fillId="3" borderId="22" xfId="0" applyNumberFormat="1" applyFont="1" applyFill="1" applyBorder="1" applyAlignment="1">
      <alignment horizontal="center" vertical="center" shrinkToFit="1"/>
    </xf>
    <xf numFmtId="164" fontId="13" fillId="0" borderId="14" xfId="0" applyNumberFormat="1" applyFont="1" applyFill="1" applyBorder="1" applyAlignment="1">
      <alignment horizontal="center" vertical="center" shrinkToFit="1"/>
    </xf>
    <xf numFmtId="164" fontId="13" fillId="3" borderId="27" xfId="0" applyNumberFormat="1" applyFont="1" applyFill="1" applyBorder="1" applyAlignment="1">
      <alignment horizontal="center" vertical="center" shrinkToFit="1"/>
    </xf>
    <xf numFmtId="164" fontId="13" fillId="3" borderId="34" xfId="0" applyNumberFormat="1" applyFont="1" applyFill="1" applyBorder="1" applyAlignment="1">
      <alignment horizontal="center" vertical="center" shrinkToFit="1"/>
    </xf>
    <xf numFmtId="164" fontId="13" fillId="3" borderId="15" xfId="0" applyNumberFormat="1" applyFont="1" applyFill="1" applyBorder="1" applyAlignment="1">
      <alignment horizontal="center" vertical="center" shrinkToFit="1"/>
    </xf>
    <xf numFmtId="164" fontId="13" fillId="0" borderId="13" xfId="0" applyNumberFormat="1" applyFont="1" applyFill="1" applyBorder="1" applyAlignment="1">
      <alignment horizontal="center" vertical="center" shrinkToFit="1"/>
    </xf>
    <xf numFmtId="164" fontId="13" fillId="0" borderId="20" xfId="0" applyNumberFormat="1" applyFont="1" applyFill="1" applyBorder="1" applyAlignment="1">
      <alignment horizontal="center" vertical="center" shrinkToFit="1"/>
    </xf>
    <xf numFmtId="0" fontId="1" fillId="0" borderId="26" xfId="0" applyFont="1" applyBorder="1"/>
    <xf numFmtId="0" fontId="21" fillId="0" borderId="11" xfId="0" applyFont="1" applyFill="1" applyBorder="1" applyAlignment="1">
      <alignment horizontal="left" vertical="center" shrinkToFit="1"/>
    </xf>
    <xf numFmtId="0" fontId="21" fillId="0" borderId="27" xfId="0" applyFont="1" applyFill="1" applyBorder="1" applyAlignment="1">
      <alignment horizontal="left" vertical="center" shrinkToFit="1"/>
    </xf>
    <xf numFmtId="164" fontId="0" fillId="0" borderId="13" xfId="0" applyNumberFormat="1" applyBorder="1" applyAlignment="1">
      <alignment horizontal="center" vertical="center"/>
    </xf>
    <xf numFmtId="0" fontId="4" fillId="8" borderId="4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2" fontId="13" fillId="0" borderId="11" xfId="0" applyNumberFormat="1" applyFont="1" applyFill="1" applyBorder="1" applyAlignment="1">
      <alignment horizontal="center" vertical="center" shrinkToFit="1"/>
    </xf>
    <xf numFmtId="2" fontId="13" fillId="0" borderId="15" xfId="0" applyNumberFormat="1" applyFont="1" applyFill="1" applyBorder="1" applyAlignment="1">
      <alignment horizontal="center" vertical="center" shrinkToFit="1"/>
    </xf>
    <xf numFmtId="2" fontId="13" fillId="5" borderId="22" xfId="0" applyNumberFormat="1" applyFont="1" applyFill="1" applyBorder="1" applyAlignment="1">
      <alignment horizontal="center" vertical="center" shrinkToFit="1"/>
    </xf>
    <xf numFmtId="2" fontId="4" fillId="0" borderId="56" xfId="0" applyNumberFormat="1" applyFont="1" applyFill="1" applyBorder="1" applyAlignment="1">
      <alignment horizontal="center" vertical="center" shrinkToFit="1"/>
    </xf>
    <xf numFmtId="0" fontId="4" fillId="0" borderId="11" xfId="0" applyFont="1" applyFill="1" applyBorder="1" applyAlignment="1">
      <alignment horizontal="center" vertical="center" shrinkToFit="1"/>
    </xf>
    <xf numFmtId="0" fontId="1" fillId="0" borderId="15" xfId="0" applyFont="1" applyBorder="1"/>
    <xf numFmtId="2" fontId="13" fillId="4" borderId="21" xfId="0" applyNumberFormat="1" applyFont="1" applyFill="1" applyBorder="1" applyAlignment="1">
      <alignment horizontal="center" vertical="center" shrinkToFit="1"/>
    </xf>
    <xf numFmtId="0" fontId="4" fillId="6" borderId="57" xfId="0" applyFont="1" applyFill="1" applyBorder="1" applyAlignment="1">
      <alignment horizontal="center" vertical="center" shrinkToFit="1"/>
    </xf>
    <xf numFmtId="0" fontId="4" fillId="9" borderId="25" xfId="0" applyFont="1" applyFill="1" applyBorder="1" applyAlignment="1">
      <alignment horizontal="center" vertical="center" shrinkToFit="1"/>
    </xf>
    <xf numFmtId="0" fontId="4" fillId="9" borderId="28" xfId="0" applyFont="1" applyFill="1" applyBorder="1" applyAlignment="1">
      <alignment horizontal="center" vertical="center" shrinkToFit="1"/>
    </xf>
    <xf numFmtId="2" fontId="13" fillId="5" borderId="21" xfId="0" applyNumberFormat="1" applyFont="1" applyFill="1" applyBorder="1" applyAlignment="1">
      <alignment horizontal="center" vertical="center" shrinkToFit="1"/>
    </xf>
    <xf numFmtId="2" fontId="1" fillId="3" borderId="11" xfId="0" applyNumberFormat="1" applyFont="1" applyFill="1" applyBorder="1" applyAlignment="1">
      <alignment horizontal="center" shrinkToFit="1"/>
    </xf>
    <xf numFmtId="2" fontId="1" fillId="3" borderId="11" xfId="0" applyNumberFormat="1" applyFont="1" applyFill="1" applyBorder="1" applyAlignment="1">
      <alignment vertical="center" shrinkToFit="1"/>
    </xf>
    <xf numFmtId="2" fontId="1" fillId="3" borderId="11" xfId="0" applyNumberFormat="1" applyFont="1" applyFill="1" applyBorder="1" applyAlignment="1">
      <alignment horizontal="center" vertical="center" shrinkToFit="1"/>
    </xf>
    <xf numFmtId="0" fontId="5" fillId="3" borderId="49" xfId="0" applyFont="1" applyFill="1" applyBorder="1" applyAlignment="1">
      <alignment horizontal="center" vertical="center" shrinkToFit="1"/>
    </xf>
    <xf numFmtId="0" fontId="5" fillId="3" borderId="51" xfId="0" applyFont="1" applyFill="1" applyBorder="1" applyAlignment="1">
      <alignment horizontal="center" vertical="center" shrinkToFit="1"/>
    </xf>
    <xf numFmtId="0" fontId="0" fillId="0" borderId="35" xfId="0" applyBorder="1" applyAlignment="1">
      <alignment horizontal="center" vertical="center"/>
    </xf>
    <xf numFmtId="0" fontId="17" fillId="7" borderId="27" xfId="0" applyFont="1" applyFill="1" applyBorder="1" applyAlignment="1">
      <alignment horizontal="left" vertical="center" shrinkToFit="1"/>
    </xf>
    <xf numFmtId="2" fontId="13" fillId="7" borderId="39" xfId="0" applyNumberFormat="1" applyFont="1" applyFill="1" applyBorder="1" applyAlignment="1">
      <alignment horizontal="center" vertical="center" shrinkToFit="1"/>
    </xf>
    <xf numFmtId="2" fontId="4" fillId="3" borderId="27" xfId="0" applyNumberFormat="1" applyFont="1" applyFill="1" applyBorder="1" applyAlignment="1">
      <alignment vertical="center" shrinkToFit="1"/>
    </xf>
    <xf numFmtId="2" fontId="1" fillId="3" borderId="27" xfId="0" applyNumberFormat="1" applyFont="1" applyFill="1" applyBorder="1" applyAlignment="1">
      <alignment horizontal="center" shrinkToFit="1"/>
    </xf>
    <xf numFmtId="2" fontId="1" fillId="3" borderId="27" xfId="0" applyNumberFormat="1" applyFont="1" applyFill="1" applyBorder="1" applyAlignment="1">
      <alignment vertical="center" shrinkToFit="1"/>
    </xf>
    <xf numFmtId="2" fontId="1" fillId="3" borderId="27" xfId="0" applyNumberFormat="1" applyFont="1" applyFill="1" applyBorder="1" applyAlignment="1">
      <alignment horizontal="center" vertical="center" shrinkToFit="1"/>
    </xf>
    <xf numFmtId="0" fontId="5" fillId="0" borderId="43" xfId="0" applyFont="1" applyBorder="1" applyAlignment="1">
      <alignment horizontal="center" vertical="center" shrinkToFit="1"/>
    </xf>
    <xf numFmtId="0" fontId="5" fillId="0" borderId="49" xfId="0" applyFont="1" applyBorder="1" applyAlignment="1">
      <alignment horizontal="center" vertical="center" shrinkToFit="1"/>
    </xf>
    <xf numFmtId="0" fontId="1" fillId="0" borderId="14" xfId="0" applyFont="1" applyFill="1" applyBorder="1"/>
    <xf numFmtId="0" fontId="1" fillId="0" borderId="15" xfId="0" applyFont="1" applyFill="1" applyBorder="1"/>
    <xf numFmtId="0" fontId="1" fillId="0" borderId="35" xfId="0" applyFont="1" applyFill="1" applyBorder="1"/>
    <xf numFmtId="0" fontId="22" fillId="0" borderId="11" xfId="0" applyFont="1" applyFill="1" applyBorder="1" applyAlignment="1">
      <alignment horizontal="left" vertical="center" shrinkToFit="1"/>
    </xf>
    <xf numFmtId="0" fontId="22" fillId="0" borderId="27" xfId="0" applyFont="1" applyFill="1" applyBorder="1" applyAlignment="1">
      <alignment horizontal="left" vertical="center" shrinkToFit="1"/>
    </xf>
    <xf numFmtId="0" fontId="22" fillId="0" borderId="57" xfId="0" applyFont="1" applyBorder="1" applyAlignment="1">
      <alignment horizontal="left" vertical="center" shrinkToFit="1"/>
    </xf>
    <xf numFmtId="0" fontId="4" fillId="8" borderId="39" xfId="0" applyFont="1" applyFill="1" applyBorder="1" applyAlignment="1">
      <alignment horizontal="center" vertical="center" shrinkToFit="1"/>
    </xf>
    <xf numFmtId="0" fontId="4" fillId="8" borderId="28" xfId="0" applyFont="1" applyFill="1" applyBorder="1" applyAlignment="1">
      <alignment horizontal="center" vertical="center" shrinkToFit="1"/>
    </xf>
    <xf numFmtId="0" fontId="4" fillId="8" borderId="11" xfId="0" applyFont="1" applyFill="1" applyBorder="1" applyAlignment="1">
      <alignment horizontal="center" vertical="center" shrinkToFit="1"/>
    </xf>
    <xf numFmtId="0" fontId="4" fillId="8" borderId="26" xfId="0" applyFont="1" applyFill="1" applyBorder="1" applyAlignment="1">
      <alignment horizontal="center" vertical="center" shrinkToFit="1"/>
    </xf>
    <xf numFmtId="0" fontId="4" fillId="10" borderId="13" xfId="0" applyFont="1" applyFill="1" applyBorder="1" applyAlignment="1">
      <alignment horizontal="center" vertical="center" shrinkToFit="1"/>
    </xf>
    <xf numFmtId="0" fontId="4" fillId="10" borderId="11" xfId="0" applyFont="1" applyFill="1" applyBorder="1" applyAlignment="1">
      <alignment horizontal="center" vertical="center" shrinkToFit="1"/>
    </xf>
    <xf numFmtId="0" fontId="4" fillId="10" borderId="26" xfId="0" applyFont="1" applyFill="1" applyBorder="1" applyAlignment="1">
      <alignment horizontal="center" vertical="center" shrinkToFit="1"/>
    </xf>
    <xf numFmtId="0" fontId="4" fillId="10" borderId="28" xfId="0" applyFont="1" applyFill="1" applyBorder="1" applyAlignment="1">
      <alignment horizontal="center" vertical="center" shrinkToFit="1"/>
    </xf>
    <xf numFmtId="0" fontId="4" fillId="5" borderId="13" xfId="0" applyFont="1" applyFill="1" applyBorder="1" applyAlignment="1">
      <alignment horizontal="center" vertical="center" shrinkToFit="1"/>
    </xf>
    <xf numFmtId="0" fontId="4" fillId="5" borderId="26" xfId="0" applyFont="1" applyFill="1" applyBorder="1" applyAlignment="1">
      <alignment horizontal="center" vertical="center" shrinkToFit="1"/>
    </xf>
    <xf numFmtId="0" fontId="4" fillId="0" borderId="13" xfId="0" applyFont="1" applyFill="1" applyBorder="1" applyAlignment="1">
      <alignment horizontal="center" vertical="center" shrinkToFit="1"/>
    </xf>
    <xf numFmtId="0" fontId="8" fillId="0" borderId="0" xfId="0" applyFont="1" applyAlignment="1">
      <alignment horizont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3" borderId="8"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0" xfId="0" applyFont="1" applyFill="1" applyBorder="1" applyAlignment="1">
      <alignment horizontal="center" vertical="top" wrapText="1"/>
    </xf>
    <xf numFmtId="0" fontId="3" fillId="3" borderId="30" xfId="0" applyFont="1" applyFill="1" applyBorder="1" applyAlignment="1">
      <alignment horizontal="center"/>
    </xf>
    <xf numFmtId="0" fontId="3" fillId="3" borderId="18"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0" borderId="3" xfId="0" applyFont="1" applyFill="1" applyBorder="1" applyAlignment="1">
      <alignment horizontal="center" vertical="top" wrapText="1"/>
    </xf>
    <xf numFmtId="0" fontId="3" fillId="0" borderId="53"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54" xfId="0" applyFont="1" applyFill="1" applyBorder="1" applyAlignment="1">
      <alignment horizontal="center" vertical="top" wrapText="1"/>
    </xf>
    <xf numFmtId="0" fontId="3" fillId="0" borderId="43" xfId="0" applyFont="1" applyBorder="1" applyAlignment="1">
      <alignment horizontal="center"/>
    </xf>
    <xf numFmtId="0" fontId="3" fillId="0" borderId="44" xfId="0" applyFont="1" applyBorder="1" applyAlignment="1">
      <alignment horizontal="center"/>
    </xf>
    <xf numFmtId="0" fontId="3" fillId="3" borderId="10" xfId="0" applyFont="1" applyFill="1" applyBorder="1" applyAlignment="1">
      <alignment horizontal="center"/>
    </xf>
    <xf numFmtId="0" fontId="3" fillId="3" borderId="41" xfId="0" applyFont="1" applyFill="1" applyBorder="1" applyAlignment="1">
      <alignment horizontal="center"/>
    </xf>
    <xf numFmtId="0" fontId="3" fillId="0" borderId="10" xfId="0" applyFont="1" applyBorder="1" applyAlignment="1">
      <alignment horizontal="center" vertical="top" wrapText="1"/>
    </xf>
  </cellXfs>
  <cellStyles count="1">
    <cellStyle name="Normal" xfId="0" builtinId="0"/>
  </cellStyles>
  <dxfs count="0"/>
  <tableStyles count="0" defaultTableStyle="TableStyleMedium9" defaultPivotStyle="PivotStyleLight16"/>
  <colors>
    <mruColors>
      <color rgb="FFFF99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295275</xdr:colOff>
      <xdr:row>4</xdr:row>
      <xdr:rowOff>19050</xdr:rowOff>
    </xdr:from>
    <xdr:to>
      <xdr:col>10</xdr:col>
      <xdr:colOff>200025</xdr:colOff>
      <xdr:row>41</xdr:row>
      <xdr:rowOff>152400</xdr:rowOff>
    </xdr:to>
    <xdr:sp macro="" textlink="">
      <xdr:nvSpPr>
        <xdr:cNvPr id="4097" name="Text Box 1"/>
        <xdr:cNvSpPr txBox="1">
          <a:spLocks noChangeArrowheads="1"/>
        </xdr:cNvSpPr>
      </xdr:nvSpPr>
      <xdr:spPr bwMode="auto">
        <a:xfrm>
          <a:off x="904875" y="666750"/>
          <a:ext cx="5391150" cy="61245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Selamat Datang dalam "Penilaian Autentik Berbasis Kecerdasan" anak usia dini. Kecerdasan anak usia dini dalam setiap standar kompetensi Pengembangan Diri maupun Kemampuan Dasar untuk setiap Indikator dapat diamati selama kurun waktu tertentu secara kuantitatif ' Skala Likert' untuk setiap Indikator dengan :</a:t>
          </a:r>
        </a:p>
        <a:p>
          <a:pPr algn="l" rtl="1">
            <a:defRPr sz="1000"/>
          </a:pPr>
          <a:r>
            <a:rPr lang="en-US" sz="1000" b="0" i="0" strike="noStrike">
              <a:solidFill>
                <a:srgbClr val="000000"/>
              </a:solidFill>
              <a:latin typeface="Arial"/>
              <a:cs typeface="Arial"/>
            </a:rPr>
            <a:t>1. Amat Baik dengan score 5</a:t>
          </a:r>
        </a:p>
        <a:p>
          <a:pPr algn="l" rtl="1">
            <a:defRPr sz="1000"/>
          </a:pPr>
          <a:r>
            <a:rPr lang="en-US" sz="1000" b="0" i="0" strike="noStrike">
              <a:solidFill>
                <a:srgbClr val="000000"/>
              </a:solidFill>
              <a:latin typeface="Arial"/>
              <a:cs typeface="Arial"/>
            </a:rPr>
            <a:t>2. Baik dengan score 4</a:t>
          </a:r>
        </a:p>
        <a:p>
          <a:pPr algn="l" rtl="1">
            <a:defRPr sz="1000"/>
          </a:pPr>
          <a:r>
            <a:rPr lang="en-US" sz="1000" b="0" i="0" strike="noStrike">
              <a:solidFill>
                <a:srgbClr val="000000"/>
              </a:solidFill>
              <a:latin typeface="Arial"/>
              <a:cs typeface="Arial"/>
            </a:rPr>
            <a:t>3. Cukup dengan score 3</a:t>
          </a:r>
        </a:p>
        <a:p>
          <a:pPr algn="l" rtl="1">
            <a:defRPr sz="1000"/>
          </a:pPr>
          <a:r>
            <a:rPr lang="en-US" sz="1000" b="0" i="0" strike="noStrike">
              <a:solidFill>
                <a:srgbClr val="000000"/>
              </a:solidFill>
              <a:latin typeface="Arial"/>
              <a:cs typeface="Arial"/>
            </a:rPr>
            <a:t>4. Kurang berkembang dengan score 2</a:t>
          </a:r>
        </a:p>
        <a:p>
          <a:pPr algn="l" rtl="1">
            <a:defRPr sz="1000"/>
          </a:pPr>
          <a:r>
            <a:rPr lang="en-US" sz="1000" b="0" i="0" strike="noStrike">
              <a:solidFill>
                <a:srgbClr val="000000"/>
              </a:solidFill>
              <a:latin typeface="Arial"/>
              <a:cs typeface="Arial"/>
            </a:rPr>
            <a:t>5. Tidak menunjukkan perkembangan dengan score 1</a:t>
          </a:r>
        </a:p>
        <a:p>
          <a:pPr algn="l" rtl="1">
            <a:defRPr sz="1000"/>
          </a:pPr>
          <a:r>
            <a:rPr lang="en-US" sz="1000" b="0" i="0" strike="noStrike">
              <a:solidFill>
                <a:srgbClr val="000000"/>
              </a:solidFill>
              <a:latin typeface="Arial"/>
              <a:cs typeface="Arial"/>
            </a:rPr>
            <a:t>Nilai Kecerdasan dengan rentang nilai 0 sd 100 dapat dihitung  sama dengan Jumlah Score dibagi Score Optimal kali 100.</a:t>
          </a:r>
        </a:p>
        <a:p>
          <a:pPr algn="l" rtl="1">
            <a:defRPr sz="1000"/>
          </a:pPr>
          <a:r>
            <a:rPr lang="en-US" sz="1000" b="0" i="0" strike="noStrike">
              <a:solidFill>
                <a:srgbClr val="000000"/>
              </a:solidFill>
              <a:latin typeface="Arial"/>
              <a:cs typeface="Arial"/>
            </a:rPr>
            <a:t>Score Optimal = jumlah indikator x 5 (score Likert tertinggi).</a:t>
          </a:r>
        </a:p>
        <a:p>
          <a:pPr algn="l" rtl="1">
            <a:defRPr sz="1000"/>
          </a:pPr>
          <a:r>
            <a:rPr lang="en-US" sz="1000" b="0" i="0" strike="noStrike">
              <a:solidFill>
                <a:srgbClr val="000000"/>
              </a:solidFill>
              <a:latin typeface="Arial"/>
              <a:cs typeface="Arial"/>
            </a:rPr>
            <a:t>Cara menggunakan :</a:t>
          </a:r>
        </a:p>
        <a:p>
          <a:pPr algn="l" rtl="1">
            <a:defRPr sz="1000"/>
          </a:pPr>
          <a:r>
            <a:rPr lang="en-US" sz="1000" b="0" i="0" strike="noStrike">
              <a:solidFill>
                <a:srgbClr val="000000"/>
              </a:solidFill>
              <a:latin typeface="Arial"/>
              <a:cs typeface="Arial"/>
            </a:rPr>
            <a:t>Bukalah setiap Software Pengembangan Kecerdasan, kemudian Save As dan Tulislah Nama File semester berapa dan tahun berapa . </a:t>
          </a:r>
        </a:p>
        <a:p>
          <a:pPr algn="l" rtl="1">
            <a:defRPr sz="1000"/>
          </a:pPr>
          <a:r>
            <a:rPr lang="en-US" sz="1000" b="0" i="0" strike="noStrike">
              <a:solidFill>
                <a:srgbClr val="000000"/>
              </a:solidFill>
              <a:latin typeface="Arial"/>
              <a:cs typeface="Arial"/>
            </a:rPr>
            <a:t>Cara mendapatkan  Nilai akhir Aspek Moral dan Nilai-nilai Agama, Aspek Sosial-Emosional dan Kemandirian, Aspek Pengembangan Fisik dan Motorik, Aspek Pengembangan Kemampuan Seni, Aspek Pengembangan Bahasa dan Aspek Pengembangan Kognitif dapat dengan cepat menggunakan Software Penilaian ini. Entry data score Likert setiap indikator sampai 3 kali penilaian pada daftar nilai, maka nilai Aspek akan muncul secara otomatis pada raport klasikal setiap anak. Kemudian diskripsikan secara kualitatif kemampuan kecerdasan sesuai contoh pada raport siswa, maka nilai dan diskripsi akan muncul otomatis pada lembar raport sesuai nama anak. Kemudian copy lambang prestasi sesuai kualifikasi : </a:t>
          </a: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Kemudian isi data anak dan Print dikertas putih atau berwarna sesuai kreasi anda.</a:t>
          </a:r>
        </a:p>
        <a:p>
          <a:pPr algn="l" rtl="1">
            <a:defRPr sz="1000"/>
          </a:pPr>
          <a:r>
            <a:rPr lang="en-US" sz="1000" b="0" i="0" strike="noStrike">
              <a:solidFill>
                <a:srgbClr val="000000"/>
              </a:solidFill>
              <a:latin typeface="Arial"/>
              <a:cs typeface="Arial"/>
            </a:rPr>
            <a:t>Raport Profesional anak usia dini membuat orang tua lebih mengerti kulaifikasi hasil belajar anaknya dan untuk anak itu sendiri suka sekali menyaksikan lambang-lambang prestasinya yang berwarna-warni.  "Semoga Tuhan Berkati"</a:t>
          </a: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"Sri Sukabdiayh" selalu ingin Manajemen Pendidikan ini berderap maju  ke langkah profesional yang menyenangkan di seluruh Indonesia Tercinta.</a:t>
          </a:r>
        </a:p>
        <a:p>
          <a:pPr algn="l" rtl="1">
            <a:defRPr sz="1000"/>
          </a:pPr>
          <a:r>
            <a:rPr lang="en-US" sz="1000" b="0" i="0" strike="noStrike">
              <a:solidFill>
                <a:srgbClr val="000000"/>
              </a:solidFill>
              <a:latin typeface="Arial"/>
              <a:cs typeface="Arial"/>
            </a:rPr>
            <a:t>Semoga " TUHAN SELALU BERKATI" amin</a:t>
          </a:r>
        </a:p>
      </xdr:txBody>
    </xdr:sp>
    <xdr:clientData/>
  </xdr:twoCellAnchor>
  <xdr:twoCellAnchor>
    <xdr:from>
      <xdr:col>3</xdr:col>
      <xdr:colOff>600075</xdr:colOff>
      <xdr:row>31</xdr:row>
      <xdr:rowOff>9525</xdr:rowOff>
    </xdr:from>
    <xdr:to>
      <xdr:col>4</xdr:col>
      <xdr:colOff>361950</xdr:colOff>
      <xdr:row>33</xdr:row>
      <xdr:rowOff>38100</xdr:rowOff>
    </xdr:to>
    <xdr:sp macro="" textlink="">
      <xdr:nvSpPr>
        <xdr:cNvPr id="45081" name="AutoShape 2"/>
        <xdr:cNvSpPr>
          <a:spLocks noChangeArrowheads="1"/>
        </xdr:cNvSpPr>
      </xdr:nvSpPr>
      <xdr:spPr bwMode="auto">
        <a:xfrm>
          <a:off x="2428875" y="5029200"/>
          <a:ext cx="371475" cy="352425"/>
        </a:xfrm>
        <a:prstGeom prst="sun">
          <a:avLst>
            <a:gd name="adj" fmla="val 25000"/>
          </a:avLst>
        </a:prstGeom>
        <a:solidFill>
          <a:srgbClr val="FF00FF"/>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5</xdr:col>
      <xdr:colOff>114300</xdr:colOff>
      <xdr:row>31</xdr:row>
      <xdr:rowOff>38100</xdr:rowOff>
    </xdr:from>
    <xdr:to>
      <xdr:col>5</xdr:col>
      <xdr:colOff>476250</xdr:colOff>
      <xdr:row>33</xdr:row>
      <xdr:rowOff>9525</xdr:rowOff>
    </xdr:to>
    <xdr:sp macro="" textlink="">
      <xdr:nvSpPr>
        <xdr:cNvPr id="4099" name="AutoShape 3"/>
        <xdr:cNvSpPr>
          <a:spLocks noChangeArrowheads="1"/>
        </xdr:cNvSpPr>
      </xdr:nvSpPr>
      <xdr:spPr bwMode="auto">
        <a:xfrm>
          <a:off x="3162300" y="5057775"/>
          <a:ext cx="361950" cy="295275"/>
        </a:xfrm>
        <a:prstGeom prst="star5">
          <a:avLst/>
        </a:prstGeom>
        <a:solidFill>
          <a:srgbClr val="0000FF"/>
        </a:solidFill>
        <a:ln w="9525">
          <a:solidFill>
            <a:srgbClr val="000000"/>
          </a:solidFill>
          <a:miter lim="800000"/>
          <a:headEnd/>
          <a:tailEnd/>
        </a:ln>
        <a:effectLst>
          <a:prstShdw prst="shdw13" dist="53882" dir="13500000">
            <a:srgbClr val="808080">
              <a:alpha val="50000"/>
            </a:srgbClr>
          </a:prstShdw>
        </a:effectLst>
      </xdr:spPr>
      <xdr:txBody>
        <a:bodyPr/>
        <a:lstStyle/>
        <a:p>
          <a:endParaRPr lang="en-US"/>
        </a:p>
      </xdr:txBody>
    </xdr:sp>
    <xdr:clientData/>
  </xdr:twoCellAnchor>
  <xdr:twoCellAnchor>
    <xdr:from>
      <xdr:col>6</xdr:col>
      <xdr:colOff>285750</xdr:colOff>
      <xdr:row>31</xdr:row>
      <xdr:rowOff>47625</xdr:rowOff>
    </xdr:from>
    <xdr:to>
      <xdr:col>6</xdr:col>
      <xdr:colOff>571500</xdr:colOff>
      <xdr:row>33</xdr:row>
      <xdr:rowOff>38100</xdr:rowOff>
    </xdr:to>
    <xdr:sp macro="" textlink="">
      <xdr:nvSpPr>
        <xdr:cNvPr id="45083" name="AutoShape 4"/>
        <xdr:cNvSpPr>
          <a:spLocks noChangeArrowheads="1"/>
        </xdr:cNvSpPr>
      </xdr:nvSpPr>
      <xdr:spPr bwMode="auto">
        <a:xfrm>
          <a:off x="3943350" y="5067300"/>
          <a:ext cx="285750" cy="314325"/>
        </a:xfrm>
        <a:prstGeom prst="smileyFace">
          <a:avLst>
            <a:gd name="adj" fmla="val 4653"/>
          </a:avLst>
        </a:prstGeom>
        <a:solidFill>
          <a:srgbClr val="00FFFF"/>
        </a:solidFill>
        <a:ln w="9525">
          <a:solidFill>
            <a:srgbClr val="000000"/>
          </a:solidFill>
          <a:round/>
          <a:headEnd/>
          <a:tailEnd/>
        </a:ln>
        <a:effectLst>
          <a:prstShdw prst="shdw13" dist="53882" dir="13500000">
            <a:srgbClr val="808080">
              <a:alpha val="50000"/>
            </a:srgbClr>
          </a:prstShdw>
        </a:effectLst>
      </xdr:spPr>
    </xdr:sp>
    <xdr:clientData/>
  </xdr:twoCellAnchor>
  <xdr:twoCellAnchor>
    <xdr:from>
      <xdr:col>7</xdr:col>
      <xdr:colOff>352425</xdr:colOff>
      <xdr:row>31</xdr:row>
      <xdr:rowOff>57150</xdr:rowOff>
    </xdr:from>
    <xdr:to>
      <xdr:col>8</xdr:col>
      <xdr:colOff>0</xdr:colOff>
      <xdr:row>33</xdr:row>
      <xdr:rowOff>38100</xdr:rowOff>
    </xdr:to>
    <xdr:sp macro="" textlink="">
      <xdr:nvSpPr>
        <xdr:cNvPr id="45084" name="AutoShape 5"/>
        <xdr:cNvSpPr>
          <a:spLocks noChangeArrowheads="1"/>
        </xdr:cNvSpPr>
      </xdr:nvSpPr>
      <xdr:spPr bwMode="auto">
        <a:xfrm>
          <a:off x="4619625" y="5076825"/>
          <a:ext cx="257175" cy="304800"/>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0000"/>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2</xdr:col>
      <xdr:colOff>285750</xdr:colOff>
      <xdr:row>4</xdr:row>
      <xdr:rowOff>152400</xdr:rowOff>
    </xdr:from>
    <xdr:to>
      <xdr:col>9</xdr:col>
      <xdr:colOff>314325</xdr:colOff>
      <xdr:row>8</xdr:row>
      <xdr:rowOff>19050</xdr:rowOff>
    </xdr:to>
    <xdr:sp macro="" textlink="">
      <xdr:nvSpPr>
        <xdr:cNvPr id="4102" name="WordArt 6"/>
        <xdr:cNvSpPr>
          <a:spLocks noChangeArrowheads="1" noChangeShapeType="1" noTextEdit="1"/>
        </xdr:cNvSpPr>
      </xdr:nvSpPr>
      <xdr:spPr bwMode="auto">
        <a:xfrm>
          <a:off x="1504950" y="800100"/>
          <a:ext cx="4295775" cy="514350"/>
        </a:xfrm>
        <a:prstGeom prst="rect">
          <a:avLst/>
        </a:prstGeom>
      </xdr:spPr>
      <xdr:txBody>
        <a:bodyPr wrap="none" fromWordArt="1">
          <a:prstTxWarp prst="textPlain">
            <a:avLst>
              <a:gd name="adj" fmla="val 50000"/>
            </a:avLst>
          </a:prstTxWarp>
        </a:bodyPr>
        <a:lstStyle/>
        <a:p>
          <a:pPr algn="ctr" rtl="0"/>
          <a:r>
            <a:rPr lang="en-US" sz="14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latin typeface="Arial Black"/>
            </a:rPr>
            <a:t>Selamat Datang</a:t>
          </a:r>
        </a:p>
        <a:p>
          <a:pPr algn="ctr" rtl="0"/>
          <a:r>
            <a:rPr lang="en-US" sz="14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latin typeface="Arial Black"/>
            </a:rPr>
            <a:t> Dalam "Raport Profesional" Anak Usia Dini</a:t>
          </a:r>
        </a:p>
      </xdr:txBody>
    </xdr:sp>
    <xdr:clientData/>
  </xdr:twoCellAnchor>
  <xdr:twoCellAnchor>
    <xdr:from>
      <xdr:col>1</xdr:col>
      <xdr:colOff>295275</xdr:colOff>
      <xdr:row>4</xdr:row>
      <xdr:rowOff>19050</xdr:rowOff>
    </xdr:from>
    <xdr:to>
      <xdr:col>10</xdr:col>
      <xdr:colOff>200025</xdr:colOff>
      <xdr:row>45</xdr:row>
      <xdr:rowOff>85725</xdr:rowOff>
    </xdr:to>
    <xdr:sp macro="" textlink="">
      <xdr:nvSpPr>
        <xdr:cNvPr id="4103" name="Text Box 7"/>
        <xdr:cNvSpPr txBox="1">
          <a:spLocks noChangeArrowheads="1"/>
        </xdr:cNvSpPr>
      </xdr:nvSpPr>
      <xdr:spPr bwMode="auto">
        <a:xfrm>
          <a:off x="904875" y="666750"/>
          <a:ext cx="5391150" cy="6705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Selamat Datang dalam "Penilaian Autentik Berbasis Kecerdasan" anak usia dini. Kecerdasan anak usia dini dalam setiap standar kompetensi Pengembangan Diri maupun Pengembangan Kemampuan Dasar untuk setiap Indikator dapat diamati selama kurun waktu tertentu secara kuantitatif ' Skala Likert' untuk setiap Indikator dengan :</a:t>
          </a:r>
        </a:p>
        <a:p>
          <a:pPr algn="l" rtl="1">
            <a:defRPr sz="1000"/>
          </a:pPr>
          <a:r>
            <a:rPr lang="en-US" sz="1000" b="0" i="0" strike="noStrike">
              <a:solidFill>
                <a:srgbClr val="000000"/>
              </a:solidFill>
              <a:latin typeface="Arial"/>
              <a:cs typeface="Arial"/>
            </a:rPr>
            <a:t>1. Amat Baik dengan score 5</a:t>
          </a:r>
        </a:p>
        <a:p>
          <a:pPr algn="l" rtl="1">
            <a:defRPr sz="1000"/>
          </a:pPr>
          <a:r>
            <a:rPr lang="en-US" sz="1000" b="0" i="0" strike="noStrike">
              <a:solidFill>
                <a:srgbClr val="000000"/>
              </a:solidFill>
              <a:latin typeface="Arial"/>
              <a:cs typeface="Arial"/>
            </a:rPr>
            <a:t>2. Baik dengan score 4</a:t>
          </a:r>
        </a:p>
        <a:p>
          <a:pPr algn="l" rtl="1">
            <a:defRPr sz="1000"/>
          </a:pPr>
          <a:r>
            <a:rPr lang="en-US" sz="1000" b="0" i="0" strike="noStrike">
              <a:solidFill>
                <a:srgbClr val="000000"/>
              </a:solidFill>
              <a:latin typeface="Arial"/>
              <a:cs typeface="Arial"/>
            </a:rPr>
            <a:t>3. Cukup dengan score 3</a:t>
          </a:r>
        </a:p>
        <a:p>
          <a:pPr algn="l" rtl="1">
            <a:defRPr sz="1000"/>
          </a:pPr>
          <a:r>
            <a:rPr lang="en-US" sz="1000" b="0" i="0" strike="noStrike">
              <a:solidFill>
                <a:srgbClr val="000000"/>
              </a:solidFill>
              <a:latin typeface="Arial"/>
              <a:cs typeface="Arial"/>
            </a:rPr>
            <a:t>4. Kurang berkembang dengan score 2</a:t>
          </a:r>
        </a:p>
        <a:p>
          <a:pPr algn="l" rtl="1">
            <a:defRPr sz="1000"/>
          </a:pPr>
          <a:r>
            <a:rPr lang="en-US" sz="1000" b="0" i="0" strike="noStrike">
              <a:solidFill>
                <a:srgbClr val="000000"/>
              </a:solidFill>
              <a:latin typeface="Arial"/>
              <a:cs typeface="Arial"/>
            </a:rPr>
            <a:t>5. Tidak menunjukkan perkembangan dengan score 1</a:t>
          </a:r>
        </a:p>
        <a:p>
          <a:pPr algn="l" rtl="1">
            <a:defRPr sz="1000"/>
          </a:pPr>
          <a:r>
            <a:rPr lang="en-US" sz="1000" b="0" i="0" strike="noStrike">
              <a:solidFill>
                <a:srgbClr val="000000"/>
              </a:solidFill>
              <a:latin typeface="Arial"/>
              <a:cs typeface="Arial"/>
            </a:rPr>
            <a:t>Nilai Kecerdasan dengan rentang nilai 0 sd 100 dapat dihitung  sama dengan Jumlah Score dibagi Score Optimal kali 100.</a:t>
          </a:r>
        </a:p>
        <a:p>
          <a:pPr algn="l" rtl="1">
            <a:defRPr sz="1000"/>
          </a:pPr>
          <a:r>
            <a:rPr lang="en-US" sz="1000" b="0" i="0" strike="noStrike">
              <a:solidFill>
                <a:srgbClr val="000000"/>
              </a:solidFill>
              <a:latin typeface="Arial"/>
              <a:cs typeface="Arial"/>
            </a:rPr>
            <a:t>Score Optimal = jumlah indikator x 5 (score Likert tertinggi).</a:t>
          </a:r>
        </a:p>
        <a:p>
          <a:pPr algn="l" rtl="1">
            <a:defRPr sz="1000"/>
          </a:pPr>
          <a:r>
            <a:rPr lang="en-US" sz="1000" b="0" i="0" strike="noStrike">
              <a:solidFill>
                <a:srgbClr val="000000"/>
              </a:solidFill>
              <a:latin typeface="Arial"/>
              <a:cs typeface="Arial"/>
            </a:rPr>
            <a:t>Cara menggunakan :</a:t>
          </a:r>
        </a:p>
        <a:p>
          <a:pPr algn="l" rtl="1">
            <a:defRPr sz="1000"/>
          </a:pPr>
          <a:r>
            <a:rPr lang="en-US" sz="1000" b="0" i="0" strike="noStrike">
              <a:solidFill>
                <a:srgbClr val="000000"/>
              </a:solidFill>
              <a:latin typeface="Arial"/>
              <a:cs typeface="Arial"/>
            </a:rPr>
            <a:t>Bukalah setiap Software Pengembangan Kecerdasan, kemudian Save As dan Tulislah Nama File semester berapa dan tahun berapa . </a:t>
          </a:r>
        </a:p>
        <a:p>
          <a:pPr algn="l" rtl="1">
            <a:defRPr sz="1000"/>
          </a:pPr>
          <a:r>
            <a:rPr lang="en-US" sz="1000" b="0" i="0" strike="noStrike">
              <a:solidFill>
                <a:srgbClr val="000000"/>
              </a:solidFill>
              <a:latin typeface="Arial"/>
              <a:cs typeface="Arial"/>
            </a:rPr>
            <a:t>Cara mendapatkan  Nilai akhir Aspek Moral dan Nilai-nilai Agama, Aspek Sosial-Emosional dan Kemandirian, Aspek Pengembangan Fisik dan Motorik, Aspek Pengembangan Kemampuan Seni, Aspek Pengembangan Bahasa dan Aspek Pengembangan Kognitif dapat dengan cepat menggunakan Software Penilaian ini. Entry data score Likert setiap indikator sampai 3 kali penilaian pada daftar nilai, maka nilai Aspek akan muncul secara otomatis pada raport klasikal setiap anak. Kemudian diskripsikan secara kualitatif kemampuan kecerdasan sesuai contoh pada raport siswa, maka nilai dan diskripsi akan muncul otomatis pada lembar raport sesuai nama anak. Kemudian copy lambang prestasi sesuai kualifikasi : </a:t>
          </a:r>
        </a:p>
        <a:p>
          <a:pPr algn="l" rtl="1">
            <a:defRPr sz="1000"/>
          </a:pP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Kemudian isi data anak dan Print dikertas putih atau berwarna sesuai kreasi anda.</a:t>
          </a:r>
        </a:p>
        <a:p>
          <a:pPr algn="l" rtl="1">
            <a:defRPr sz="1000"/>
          </a:pPr>
          <a:r>
            <a:rPr lang="en-US" sz="1000" b="0" i="0" strike="noStrike">
              <a:solidFill>
                <a:srgbClr val="000000"/>
              </a:solidFill>
              <a:latin typeface="Arial"/>
              <a:cs typeface="Arial"/>
            </a:rPr>
            <a:t>Raport Profesional anak usia dini membuat orang tua lebih mengerti kulaifikasi hasil belajar anaknya dan untuk anak itu sendiri suka sekali menyaksikan lambang-lambang prestasinya yang berwarna-warni.  "Semoga Tuhan Berkati"</a:t>
          </a:r>
        </a:p>
        <a:p>
          <a:pPr algn="l" rtl="1">
            <a:defRPr sz="1000"/>
          </a:pPr>
          <a:endParaRPr lang="en-US" sz="1000" b="0" i="0" strike="noStrike">
            <a:solidFill>
              <a:srgbClr val="000000"/>
            </a:solidFill>
            <a:latin typeface="Arial"/>
            <a:cs typeface="Arial"/>
          </a:endParaRPr>
        </a:p>
        <a:p>
          <a:pPr algn="l" rtl="1">
            <a:defRPr sz="1000"/>
          </a:pPr>
          <a:r>
            <a:rPr lang="en-US" sz="1000" b="0" i="0" strike="noStrike">
              <a:solidFill>
                <a:srgbClr val="000000"/>
              </a:solidFill>
              <a:latin typeface="Arial"/>
              <a:cs typeface="Arial"/>
            </a:rPr>
            <a:t>"Sri Sukabdiayh" selalu ingin Manajemen Pendidikan ini berderap maju  ke langkah profesional yang menyenangkan di seluruh Indonesia Tercinta.</a:t>
          </a:r>
        </a:p>
        <a:p>
          <a:pPr algn="l" rtl="1">
            <a:defRPr sz="1000"/>
          </a:pPr>
          <a:r>
            <a:rPr lang="en-US" sz="1000" b="0" i="0" strike="noStrike">
              <a:solidFill>
                <a:srgbClr val="000000"/>
              </a:solidFill>
              <a:latin typeface="Arial"/>
              <a:cs typeface="Arial"/>
            </a:rPr>
            <a:t>Semoga " TUHAN SELALU BERKATI" Amin </a:t>
          </a:r>
        </a:p>
        <a:p>
          <a:pPr algn="l" rtl="1">
            <a:defRPr sz="1000"/>
          </a:pPr>
          <a:endParaRPr lang="en-US" sz="1000" b="0" i="0" strike="noStrike">
            <a:solidFill>
              <a:srgbClr val="000000"/>
            </a:solidFill>
            <a:latin typeface="Arial"/>
            <a:cs typeface="Arial"/>
          </a:endParaRPr>
        </a:p>
        <a:p>
          <a:pPr algn="l" rtl="1">
            <a:defRPr sz="1000"/>
          </a:pPr>
          <a:r>
            <a:rPr lang="en-US" sz="1000" b="1" i="0" strike="noStrike">
              <a:solidFill>
                <a:srgbClr val="000000"/>
              </a:solidFill>
              <a:latin typeface="Arial"/>
              <a:cs typeface="Arial"/>
            </a:rPr>
            <a:t>Dra. Mc Sri Sukabdiyah,MM</a:t>
          </a:r>
        </a:p>
        <a:p>
          <a:pPr algn="l" rtl="1">
            <a:defRPr sz="1000"/>
          </a:pPr>
          <a:r>
            <a:rPr lang="en-US" sz="1000" b="1" i="0" strike="noStrike">
              <a:solidFill>
                <a:srgbClr val="000000"/>
              </a:solidFill>
              <a:latin typeface="Arial"/>
              <a:cs typeface="Arial"/>
            </a:rPr>
            <a:t>Director Program &amp; Consultant Educasion  "Even Organizer QA &amp; QC Eeducation" </a:t>
          </a:r>
          <a:endParaRPr lang="en-US" sz="1000" b="0" i="0" strike="noStrike">
            <a:solidFill>
              <a:srgbClr val="000000"/>
            </a:solidFill>
            <a:latin typeface="Arial"/>
            <a:cs typeface="Arial"/>
          </a:endParaRPr>
        </a:p>
        <a:p>
          <a:pPr algn="l" rtl="1">
            <a:defRPr sz="1000"/>
          </a:pPr>
          <a:endParaRPr lang="en-US" sz="1000" b="0" i="0" strike="noStrike">
            <a:solidFill>
              <a:srgbClr val="000000"/>
            </a:solidFill>
            <a:latin typeface="Arial"/>
            <a:cs typeface="Arial"/>
          </a:endParaRPr>
        </a:p>
      </xdr:txBody>
    </xdr:sp>
    <xdr:clientData/>
  </xdr:twoCellAnchor>
  <xdr:twoCellAnchor>
    <xdr:from>
      <xdr:col>3</xdr:col>
      <xdr:colOff>600075</xdr:colOff>
      <xdr:row>31</xdr:row>
      <xdr:rowOff>9525</xdr:rowOff>
    </xdr:from>
    <xdr:to>
      <xdr:col>4</xdr:col>
      <xdr:colOff>361950</xdr:colOff>
      <xdr:row>33</xdr:row>
      <xdr:rowOff>38100</xdr:rowOff>
    </xdr:to>
    <xdr:sp macro="" textlink="">
      <xdr:nvSpPr>
        <xdr:cNvPr id="45087" name="AutoShape 8"/>
        <xdr:cNvSpPr>
          <a:spLocks noChangeArrowheads="1"/>
        </xdr:cNvSpPr>
      </xdr:nvSpPr>
      <xdr:spPr bwMode="auto">
        <a:xfrm>
          <a:off x="2428875" y="5029200"/>
          <a:ext cx="371475" cy="352425"/>
        </a:xfrm>
        <a:prstGeom prst="sun">
          <a:avLst>
            <a:gd name="adj" fmla="val 25000"/>
          </a:avLst>
        </a:prstGeom>
        <a:solidFill>
          <a:srgbClr val="FF00FF"/>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5</xdr:col>
      <xdr:colOff>114300</xdr:colOff>
      <xdr:row>31</xdr:row>
      <xdr:rowOff>38100</xdr:rowOff>
    </xdr:from>
    <xdr:to>
      <xdr:col>5</xdr:col>
      <xdr:colOff>476250</xdr:colOff>
      <xdr:row>33</xdr:row>
      <xdr:rowOff>9525</xdr:rowOff>
    </xdr:to>
    <xdr:sp macro="" textlink="">
      <xdr:nvSpPr>
        <xdr:cNvPr id="4105" name="AutoShape 9"/>
        <xdr:cNvSpPr>
          <a:spLocks noChangeArrowheads="1"/>
        </xdr:cNvSpPr>
      </xdr:nvSpPr>
      <xdr:spPr bwMode="auto">
        <a:xfrm>
          <a:off x="3162300" y="5057775"/>
          <a:ext cx="361950" cy="295275"/>
        </a:xfrm>
        <a:prstGeom prst="star5">
          <a:avLst/>
        </a:prstGeom>
        <a:solidFill>
          <a:srgbClr val="0000FF"/>
        </a:solidFill>
        <a:ln w="9525">
          <a:solidFill>
            <a:srgbClr val="000000"/>
          </a:solidFill>
          <a:miter lim="800000"/>
          <a:headEnd/>
          <a:tailEnd/>
        </a:ln>
        <a:effectLst>
          <a:prstShdw prst="shdw13" dist="53882" dir="13500000">
            <a:srgbClr val="808080">
              <a:alpha val="50000"/>
            </a:srgbClr>
          </a:prstShdw>
        </a:effectLst>
      </xdr:spPr>
      <xdr:txBody>
        <a:bodyPr/>
        <a:lstStyle/>
        <a:p>
          <a:endParaRPr lang="en-US"/>
        </a:p>
      </xdr:txBody>
    </xdr:sp>
    <xdr:clientData/>
  </xdr:twoCellAnchor>
  <xdr:twoCellAnchor>
    <xdr:from>
      <xdr:col>6</xdr:col>
      <xdr:colOff>285750</xdr:colOff>
      <xdr:row>31</xdr:row>
      <xdr:rowOff>47625</xdr:rowOff>
    </xdr:from>
    <xdr:to>
      <xdr:col>6</xdr:col>
      <xdr:colOff>571500</xdr:colOff>
      <xdr:row>33</xdr:row>
      <xdr:rowOff>38100</xdr:rowOff>
    </xdr:to>
    <xdr:sp macro="" textlink="">
      <xdr:nvSpPr>
        <xdr:cNvPr id="45089" name="AutoShape 10"/>
        <xdr:cNvSpPr>
          <a:spLocks noChangeArrowheads="1"/>
        </xdr:cNvSpPr>
      </xdr:nvSpPr>
      <xdr:spPr bwMode="auto">
        <a:xfrm>
          <a:off x="3943350" y="5067300"/>
          <a:ext cx="285750" cy="314325"/>
        </a:xfrm>
        <a:prstGeom prst="smileyFace">
          <a:avLst>
            <a:gd name="adj" fmla="val 4653"/>
          </a:avLst>
        </a:prstGeom>
        <a:solidFill>
          <a:srgbClr val="00FFFF"/>
        </a:solidFill>
        <a:ln w="9525">
          <a:solidFill>
            <a:srgbClr val="000000"/>
          </a:solidFill>
          <a:round/>
          <a:headEnd/>
          <a:tailEnd/>
        </a:ln>
        <a:effectLst>
          <a:prstShdw prst="shdw13" dist="53882" dir="13500000">
            <a:srgbClr val="808080">
              <a:alpha val="50000"/>
            </a:srgbClr>
          </a:prstShdw>
        </a:effectLst>
      </xdr:spPr>
    </xdr:sp>
    <xdr:clientData/>
  </xdr:twoCellAnchor>
  <xdr:twoCellAnchor>
    <xdr:from>
      <xdr:col>7</xdr:col>
      <xdr:colOff>352425</xdr:colOff>
      <xdr:row>31</xdr:row>
      <xdr:rowOff>57150</xdr:rowOff>
    </xdr:from>
    <xdr:to>
      <xdr:col>8</xdr:col>
      <xdr:colOff>0</xdr:colOff>
      <xdr:row>33</xdr:row>
      <xdr:rowOff>38100</xdr:rowOff>
    </xdr:to>
    <xdr:sp macro="" textlink="">
      <xdr:nvSpPr>
        <xdr:cNvPr id="45090" name="AutoShape 11"/>
        <xdr:cNvSpPr>
          <a:spLocks noChangeArrowheads="1"/>
        </xdr:cNvSpPr>
      </xdr:nvSpPr>
      <xdr:spPr bwMode="auto">
        <a:xfrm>
          <a:off x="4619625" y="5076825"/>
          <a:ext cx="257175" cy="304800"/>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0000"/>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2</xdr:col>
      <xdr:colOff>285750</xdr:colOff>
      <xdr:row>4</xdr:row>
      <xdr:rowOff>152400</xdr:rowOff>
    </xdr:from>
    <xdr:to>
      <xdr:col>9</xdr:col>
      <xdr:colOff>314325</xdr:colOff>
      <xdr:row>8</xdr:row>
      <xdr:rowOff>19050</xdr:rowOff>
    </xdr:to>
    <xdr:sp macro="" textlink="">
      <xdr:nvSpPr>
        <xdr:cNvPr id="4108" name="WordArt 12"/>
        <xdr:cNvSpPr>
          <a:spLocks noChangeArrowheads="1" noChangeShapeType="1" noTextEdit="1"/>
        </xdr:cNvSpPr>
      </xdr:nvSpPr>
      <xdr:spPr bwMode="auto">
        <a:xfrm>
          <a:off x="1504950" y="800100"/>
          <a:ext cx="4295775" cy="514350"/>
        </a:xfrm>
        <a:prstGeom prst="rect">
          <a:avLst/>
        </a:prstGeom>
      </xdr:spPr>
      <xdr:txBody>
        <a:bodyPr wrap="none" fromWordArt="1">
          <a:prstTxWarp prst="textPlain">
            <a:avLst>
              <a:gd name="adj" fmla="val 50000"/>
            </a:avLst>
          </a:prstTxWarp>
        </a:bodyPr>
        <a:lstStyle/>
        <a:p>
          <a:pPr algn="ctr" rtl="0"/>
          <a:r>
            <a:rPr lang="en-US" sz="14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latin typeface="Arial Black"/>
            </a:rPr>
            <a:t>Selamat Datang</a:t>
          </a:r>
        </a:p>
        <a:p>
          <a:pPr algn="ctr" rtl="0"/>
          <a:r>
            <a:rPr lang="en-US" sz="14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latin typeface="Arial Black"/>
            </a:rPr>
            <a:t> Dalam "Raport Profesional" Anak Usia Dini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4</xdr:row>
      <xdr:rowOff>47625</xdr:rowOff>
    </xdr:from>
    <xdr:to>
      <xdr:col>2</xdr:col>
      <xdr:colOff>895350</xdr:colOff>
      <xdr:row>4</xdr:row>
      <xdr:rowOff>571500</xdr:rowOff>
    </xdr:to>
    <xdr:sp macro="" textlink="">
      <xdr:nvSpPr>
        <xdr:cNvPr id="1497" name="AutoShape 1"/>
        <xdr:cNvSpPr>
          <a:spLocks noChangeArrowheads="1"/>
        </xdr:cNvSpPr>
      </xdr:nvSpPr>
      <xdr:spPr bwMode="auto">
        <a:xfrm>
          <a:off x="1666875" y="1304925"/>
          <a:ext cx="447675" cy="523875"/>
        </a:xfrm>
        <a:prstGeom prst="sun">
          <a:avLst>
            <a:gd name="adj" fmla="val 25000"/>
          </a:avLst>
        </a:prstGeom>
        <a:solidFill>
          <a:srgbClr val="FF00FF"/>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2</xdr:col>
      <xdr:colOff>438150</xdr:colOff>
      <xdr:row>6</xdr:row>
      <xdr:rowOff>133350</xdr:rowOff>
    </xdr:from>
    <xdr:to>
      <xdr:col>2</xdr:col>
      <xdr:colOff>800100</xdr:colOff>
      <xdr:row>6</xdr:row>
      <xdr:rowOff>476250</xdr:rowOff>
    </xdr:to>
    <xdr:sp macro="" textlink="">
      <xdr:nvSpPr>
        <xdr:cNvPr id="1498" name="AutoShape 2"/>
        <xdr:cNvSpPr>
          <a:spLocks noChangeArrowheads="1"/>
        </xdr:cNvSpPr>
      </xdr:nvSpPr>
      <xdr:spPr bwMode="auto">
        <a:xfrm>
          <a:off x="1657350" y="2571750"/>
          <a:ext cx="361950" cy="342900"/>
        </a:xfrm>
        <a:prstGeom prst="smileyFace">
          <a:avLst>
            <a:gd name="adj" fmla="val 4653"/>
          </a:avLst>
        </a:prstGeom>
        <a:solidFill>
          <a:srgbClr val="00FFFF"/>
        </a:solidFill>
        <a:ln w="9525">
          <a:solidFill>
            <a:srgbClr val="000000"/>
          </a:solidFill>
          <a:round/>
          <a:headEnd/>
          <a:tailEnd/>
        </a:ln>
        <a:effectLst>
          <a:prstShdw prst="shdw13" dist="53882" dir="13500000">
            <a:srgbClr val="808080">
              <a:alpha val="50000"/>
            </a:srgbClr>
          </a:prstShdw>
        </a:effectLst>
      </xdr:spPr>
    </xdr:sp>
    <xdr:clientData/>
  </xdr:twoCellAnchor>
  <xdr:twoCellAnchor>
    <xdr:from>
      <xdr:col>2</xdr:col>
      <xdr:colOff>447675</xdr:colOff>
      <xdr:row>7</xdr:row>
      <xdr:rowOff>95250</xdr:rowOff>
    </xdr:from>
    <xdr:to>
      <xdr:col>2</xdr:col>
      <xdr:colOff>762000</xdr:colOff>
      <xdr:row>7</xdr:row>
      <xdr:rowOff>447675</xdr:rowOff>
    </xdr:to>
    <xdr:sp macro="" textlink="">
      <xdr:nvSpPr>
        <xdr:cNvPr id="1499" name="AutoShape 3"/>
        <xdr:cNvSpPr>
          <a:spLocks noChangeArrowheads="1"/>
        </xdr:cNvSpPr>
      </xdr:nvSpPr>
      <xdr:spPr bwMode="auto">
        <a:xfrm>
          <a:off x="1666875" y="3105150"/>
          <a:ext cx="314325" cy="352425"/>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0000"/>
        </a:solidFill>
        <a:ln w="9525">
          <a:solidFill>
            <a:srgbClr val="000000"/>
          </a:solidFill>
          <a:miter lim="800000"/>
          <a:headEnd/>
          <a:tailEnd/>
        </a:ln>
        <a:effectLst>
          <a:prstShdw prst="shdw13" dist="53882" dir="13500000">
            <a:srgbClr val="808080">
              <a:alpha val="50000"/>
            </a:srgbClr>
          </a:prstShdw>
        </a:effectLst>
      </xdr:spPr>
    </xdr:sp>
    <xdr:clientData/>
  </xdr:twoCellAnchor>
  <xdr:twoCellAnchor>
    <xdr:from>
      <xdr:col>2</xdr:col>
      <xdr:colOff>409575</xdr:colOff>
      <xdr:row>5</xdr:row>
      <xdr:rowOff>95250</xdr:rowOff>
    </xdr:from>
    <xdr:to>
      <xdr:col>2</xdr:col>
      <xdr:colOff>838200</xdr:colOff>
      <xdr:row>5</xdr:row>
      <xdr:rowOff>514350</xdr:rowOff>
    </xdr:to>
    <xdr:sp macro="" textlink="">
      <xdr:nvSpPr>
        <xdr:cNvPr id="1028" name="AutoShape 4"/>
        <xdr:cNvSpPr>
          <a:spLocks noChangeArrowheads="1"/>
        </xdr:cNvSpPr>
      </xdr:nvSpPr>
      <xdr:spPr bwMode="auto">
        <a:xfrm>
          <a:off x="1628775" y="1943100"/>
          <a:ext cx="428625" cy="419100"/>
        </a:xfrm>
        <a:prstGeom prst="star5">
          <a:avLst/>
        </a:prstGeom>
        <a:solidFill>
          <a:srgbClr val="0000FF"/>
        </a:solidFill>
        <a:ln w="9525">
          <a:solidFill>
            <a:srgbClr val="000000"/>
          </a:solidFill>
          <a:miter lim="800000"/>
          <a:headEnd/>
          <a:tailEnd/>
        </a:ln>
        <a:effectLst>
          <a:prstShdw prst="shdw13" dist="53882" dir="13500000">
            <a:srgbClr val="808080">
              <a:alpha val="50000"/>
            </a:srgbClr>
          </a:prstShdw>
        </a:effectLst>
      </xdr:spPr>
      <xdr:txBody>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3" dist="53882" dir="13500000">
            <a:srgbClr val="808080">
              <a:alpha val="50000"/>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3" dist="53882" dir="13500000">
            <a:srgbClr val="808080">
              <a:alpha val="50000"/>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workbookViewId="0">
      <selection activeCell="A7" sqref="A1:IV65536"/>
    </sheetView>
  </sheetViews>
  <sheetFormatPr defaultRowHeight="12.5"/>
  <sheetData/>
  <phoneticPr fontId="10" type="noConversion"/>
  <pageMargins left="0.75" right="0.75" top="1" bottom="1" header="0.5" footer="0.5"/>
  <pageSetup orientation="portrait" horizontalDpi="4294967294" verticalDpi="18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I27"/>
  <sheetViews>
    <sheetView topLeftCell="B1" zoomScale="75" workbookViewId="0">
      <selection activeCell="D7" sqref="D7"/>
    </sheetView>
  </sheetViews>
  <sheetFormatPr defaultRowHeight="12.5"/>
  <cols>
    <col min="3" max="3" width="21.81640625" customWidth="1"/>
    <col min="4" max="4" width="3.81640625" customWidth="1"/>
    <col min="5" max="5" width="23" customWidth="1"/>
    <col min="6" max="6" width="18.54296875" customWidth="1"/>
    <col min="8" max="8" width="4.54296875" customWidth="1"/>
    <col min="9" max="9" width="9.81640625" customWidth="1"/>
  </cols>
  <sheetData>
    <row r="1" spans="3:9" ht="25" customHeight="1">
      <c r="C1" s="172" t="s">
        <v>9</v>
      </c>
      <c r="D1" s="172"/>
      <c r="E1" s="172"/>
      <c r="F1" s="172"/>
      <c r="G1" s="172"/>
      <c r="H1" s="172"/>
      <c r="I1" s="172"/>
    </row>
    <row r="2" spans="3:9" ht="25" customHeight="1">
      <c r="C2" s="172" t="s">
        <v>22</v>
      </c>
      <c r="D2" s="172"/>
      <c r="E2" s="172"/>
      <c r="F2" s="172"/>
      <c r="G2" s="172"/>
      <c r="H2" s="172"/>
      <c r="I2" s="172"/>
    </row>
    <row r="3" spans="3:9" ht="25" customHeight="1" thickBot="1"/>
    <row r="4" spans="3:9" ht="25" customHeight="1" thickBot="1">
      <c r="C4" s="20" t="s">
        <v>20</v>
      </c>
      <c r="D4" s="21"/>
      <c r="E4" s="173" t="s">
        <v>19</v>
      </c>
      <c r="F4" s="174"/>
      <c r="G4" s="175" t="s">
        <v>21</v>
      </c>
      <c r="H4" s="175"/>
      <c r="I4" s="174"/>
    </row>
    <row r="5" spans="3:9" ht="46.5" customHeight="1" thickBot="1">
      <c r="C5" s="2"/>
      <c r="D5" s="12"/>
      <c r="E5" s="18" t="s">
        <v>13</v>
      </c>
      <c r="F5" s="19" t="s">
        <v>11</v>
      </c>
      <c r="G5" s="22">
        <v>95</v>
      </c>
      <c r="H5" s="16" t="s">
        <v>12</v>
      </c>
      <c r="I5" s="23">
        <v>100</v>
      </c>
    </row>
    <row r="6" spans="3:9" ht="46.5" customHeight="1" thickBot="1">
      <c r="C6" s="3"/>
      <c r="D6" s="12"/>
      <c r="E6" s="13" t="s">
        <v>10</v>
      </c>
      <c r="F6" s="14" t="s">
        <v>14</v>
      </c>
      <c r="G6" s="15">
        <v>86</v>
      </c>
      <c r="H6" s="16" t="s">
        <v>12</v>
      </c>
      <c r="I6" s="17">
        <v>94</v>
      </c>
    </row>
    <row r="7" spans="3:9" ht="45" customHeight="1" thickBot="1">
      <c r="C7" s="3"/>
      <c r="E7" s="13" t="s">
        <v>15</v>
      </c>
      <c r="F7" s="14" t="s">
        <v>16</v>
      </c>
      <c r="G7" s="15">
        <v>76</v>
      </c>
      <c r="H7" s="16" t="s">
        <v>12</v>
      </c>
      <c r="I7" s="17">
        <v>85</v>
      </c>
    </row>
    <row r="8" spans="3:9" ht="38.25" customHeight="1" thickBot="1">
      <c r="C8" s="3"/>
      <c r="E8" s="13" t="s">
        <v>17</v>
      </c>
      <c r="F8" s="14" t="s">
        <v>18</v>
      </c>
      <c r="G8" s="22">
        <v>66</v>
      </c>
      <c r="H8" s="16" t="s">
        <v>12</v>
      </c>
      <c r="I8" s="17">
        <v>75</v>
      </c>
    </row>
    <row r="9" spans="3:9" ht="25" customHeight="1"/>
    <row r="10" spans="3:9" ht="25" customHeight="1"/>
    <row r="11" spans="3:9" ht="25" customHeight="1"/>
    <row r="12" spans="3:9" ht="25" customHeight="1"/>
    <row r="13" spans="3:9" ht="25" customHeight="1"/>
    <row r="14" spans="3:9" ht="25" customHeight="1"/>
    <row r="15" spans="3:9" ht="25" customHeight="1"/>
    <row r="16" spans="3:9" ht="25" customHeight="1"/>
    <row r="17" ht="25" customHeight="1"/>
    <row r="18" ht="25" customHeight="1"/>
    <row r="19" ht="25" customHeight="1"/>
    <row r="20" ht="25" customHeight="1"/>
    <row r="21" ht="25" customHeight="1"/>
    <row r="22" ht="25" customHeight="1"/>
    <row r="23" ht="25" customHeight="1"/>
    <row r="24" ht="25" customHeight="1"/>
    <row r="25" ht="25" customHeight="1"/>
    <row r="26" ht="25" customHeight="1"/>
    <row r="27" ht="25" customHeight="1"/>
  </sheetData>
  <mergeCells count="4">
    <mergeCell ref="C1:I1"/>
    <mergeCell ref="E4:F4"/>
    <mergeCell ref="G4:I4"/>
    <mergeCell ref="C2:I2"/>
  </mergeCells>
  <phoneticPr fontId="10" type="noConversion"/>
  <pageMargins left="0.75" right="0.75" top="1" bottom="1" header="0.5" footer="0.5"/>
  <pageSetup orientation="portrait" horizontalDpi="4294967294" verticalDpi="18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AG42"/>
  <sheetViews>
    <sheetView topLeftCell="B4" zoomScaleNormal="100" workbookViewId="0">
      <pane ySplit="3190" topLeftCell="A9" activePane="bottomLeft"/>
      <selection activeCell="J7" sqref="J7:O7"/>
      <selection pane="bottomLeft" activeCell="W13" sqref="W13"/>
    </sheetView>
  </sheetViews>
  <sheetFormatPr defaultRowHeight="12.5"/>
  <cols>
    <col min="2" max="2" width="3.81640625" customWidth="1"/>
    <col min="3" max="3" width="29.81640625" customWidth="1"/>
    <col min="4" max="8" width="3.7265625" customWidth="1"/>
    <col min="9" max="9" width="6.54296875" customWidth="1"/>
    <col min="10" max="14" width="3.7265625" customWidth="1"/>
    <col min="15" max="15" width="6.7265625" customWidth="1"/>
    <col min="16" max="17" width="3.7265625" customWidth="1"/>
    <col min="18" max="18" width="4.7265625" customWidth="1"/>
    <col min="19" max="20" width="3.7265625" customWidth="1"/>
    <col min="21" max="21" width="6.26953125" customWidth="1"/>
    <col min="22" max="26" width="3.7265625" customWidth="1"/>
    <col min="27" max="27" width="6.453125" customWidth="1"/>
    <col min="28" max="32" width="3.7265625" customWidth="1"/>
    <col min="33" max="33" width="6.26953125" customWidth="1"/>
    <col min="34" max="101" width="3.7265625" customWidth="1"/>
  </cols>
  <sheetData>
    <row r="1" spans="2:33" ht="18">
      <c r="B1" s="172" t="s">
        <v>26</v>
      </c>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row>
    <row r="2" spans="2:33" ht="18">
      <c r="B2" s="172" t="s">
        <v>67</v>
      </c>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row>
    <row r="3" spans="2:33" ht="17.5">
      <c r="C3" s="1" t="s">
        <v>66</v>
      </c>
    </row>
    <row r="4" spans="2:33" ht="17.5">
      <c r="C4" s="1" t="s">
        <v>3</v>
      </c>
      <c r="D4" s="1" t="s">
        <v>71</v>
      </c>
    </row>
    <row r="5" spans="2:33" ht="18" thickBot="1">
      <c r="C5" s="1" t="s">
        <v>4</v>
      </c>
    </row>
    <row r="6" spans="2:33" ht="16.5" thickTop="1" thickBot="1">
      <c r="B6" s="60" t="s">
        <v>1</v>
      </c>
      <c r="C6" s="58" t="s">
        <v>2</v>
      </c>
      <c r="D6" s="184" t="s">
        <v>29</v>
      </c>
      <c r="E6" s="185"/>
      <c r="F6" s="185"/>
      <c r="G6" s="185"/>
      <c r="H6" s="185"/>
      <c r="I6" s="185"/>
      <c r="J6" s="186" t="s">
        <v>32</v>
      </c>
      <c r="K6" s="187"/>
      <c r="L6" s="187"/>
      <c r="M6" s="187"/>
      <c r="N6" s="187"/>
      <c r="O6" s="187"/>
      <c r="P6" s="186" t="s">
        <v>33</v>
      </c>
      <c r="Q6" s="187"/>
      <c r="R6" s="187"/>
      <c r="S6" s="187"/>
      <c r="T6" s="187"/>
      <c r="U6" s="187"/>
      <c r="V6" s="180" t="s">
        <v>35</v>
      </c>
      <c r="W6" s="181"/>
      <c r="X6" s="181"/>
      <c r="Y6" s="181"/>
      <c r="Z6" s="181"/>
      <c r="AA6" s="181"/>
      <c r="AB6" s="180" t="s">
        <v>37</v>
      </c>
      <c r="AC6" s="181"/>
      <c r="AD6" s="181"/>
      <c r="AE6" s="181"/>
      <c r="AF6" s="181"/>
      <c r="AG6" s="182"/>
    </row>
    <row r="7" spans="2:33" ht="95.25" customHeight="1" thickBot="1">
      <c r="B7" s="94"/>
      <c r="C7" s="59"/>
      <c r="D7" s="178" t="s">
        <v>30</v>
      </c>
      <c r="E7" s="179"/>
      <c r="F7" s="179"/>
      <c r="G7" s="179"/>
      <c r="H7" s="179"/>
      <c r="I7" s="179"/>
      <c r="J7" s="176" t="s">
        <v>31</v>
      </c>
      <c r="K7" s="177"/>
      <c r="L7" s="177"/>
      <c r="M7" s="177"/>
      <c r="N7" s="177"/>
      <c r="O7" s="177"/>
      <c r="P7" s="176" t="s">
        <v>34</v>
      </c>
      <c r="Q7" s="177"/>
      <c r="R7" s="177"/>
      <c r="S7" s="177"/>
      <c r="T7" s="177"/>
      <c r="U7" s="177"/>
      <c r="V7" s="176" t="s">
        <v>36</v>
      </c>
      <c r="W7" s="177"/>
      <c r="X7" s="177"/>
      <c r="Y7" s="177"/>
      <c r="Z7" s="177"/>
      <c r="AA7" s="177"/>
      <c r="AB7" s="176" t="s">
        <v>38</v>
      </c>
      <c r="AC7" s="177"/>
      <c r="AD7" s="177"/>
      <c r="AE7" s="177"/>
      <c r="AF7" s="177"/>
      <c r="AG7" s="183"/>
    </row>
    <row r="8" spans="2:33" ht="14">
      <c r="B8" s="30">
        <v>1</v>
      </c>
      <c r="C8" s="158" t="s">
        <v>72</v>
      </c>
      <c r="D8" s="127"/>
      <c r="E8" s="111"/>
      <c r="F8" s="111">
        <v>4</v>
      </c>
      <c r="G8" s="112">
        <v>4</v>
      </c>
      <c r="H8" s="112"/>
      <c r="I8" s="39">
        <f>AVERAGE(D8:H8)</f>
        <v>4</v>
      </c>
      <c r="J8" s="118">
        <v>4</v>
      </c>
      <c r="K8" s="111">
        <v>3</v>
      </c>
      <c r="L8" s="111">
        <v>3.8</v>
      </c>
      <c r="M8" s="112"/>
      <c r="N8" s="112"/>
      <c r="O8" s="38">
        <f>AVERAGE(J8:N8)</f>
        <v>3.6</v>
      </c>
      <c r="P8" s="118"/>
      <c r="Q8" s="111"/>
      <c r="R8" s="111"/>
      <c r="S8" s="111">
        <v>4</v>
      </c>
      <c r="T8" s="112"/>
      <c r="U8" s="65">
        <f>AVERAGE(P8:T8)</f>
        <v>4</v>
      </c>
      <c r="V8" s="122">
        <v>4</v>
      </c>
      <c r="W8" s="123">
        <v>3.8</v>
      </c>
      <c r="X8" s="123"/>
      <c r="Y8" s="123"/>
      <c r="Z8" s="112"/>
      <c r="AA8" s="38">
        <f>AVERAGE(V8:Z8)</f>
        <v>3.9</v>
      </c>
      <c r="AB8" s="118"/>
      <c r="AC8" s="123">
        <v>3</v>
      </c>
      <c r="AD8" s="118">
        <v>4</v>
      </c>
      <c r="AE8" s="112"/>
      <c r="AF8" s="112"/>
      <c r="AG8" s="65">
        <f>AVERAGE(AB8:AF8)</f>
        <v>3.5</v>
      </c>
    </row>
    <row r="9" spans="2:33" ht="14">
      <c r="B9" s="31">
        <f>B8+1</f>
        <v>2</v>
      </c>
      <c r="C9" s="159" t="s">
        <v>73</v>
      </c>
      <c r="D9" s="113"/>
      <c r="E9" s="114"/>
      <c r="F9" s="114">
        <v>4.8</v>
      </c>
      <c r="G9" s="115">
        <v>5</v>
      </c>
      <c r="H9" s="115"/>
      <c r="I9" s="40">
        <f t="shared" ref="I9:I36" si="0">AVERAGE(D9:H9)</f>
        <v>4.9000000000000004</v>
      </c>
      <c r="J9" s="113">
        <v>3</v>
      </c>
      <c r="K9" s="119">
        <v>3.5</v>
      </c>
      <c r="L9" s="120">
        <v>4.7</v>
      </c>
      <c r="M9" s="119">
        <v>4</v>
      </c>
      <c r="N9" s="120"/>
      <c r="O9" s="51">
        <f>AVERAGE(J9:N9)</f>
        <v>3.8</v>
      </c>
      <c r="P9" s="116"/>
      <c r="Q9" s="119"/>
      <c r="R9" s="119"/>
      <c r="S9" s="120">
        <v>3.8</v>
      </c>
      <c r="T9" s="120"/>
      <c r="U9" s="52">
        <f>AVERAGE(P9:T9)</f>
        <v>3.8</v>
      </c>
      <c r="V9" s="120">
        <v>4</v>
      </c>
      <c r="W9" s="120">
        <v>4</v>
      </c>
      <c r="X9" s="120"/>
      <c r="Y9" s="120"/>
      <c r="Z9" s="120"/>
      <c r="AA9" s="51">
        <f>AVERAGE(V9:Z9)</f>
        <v>4</v>
      </c>
      <c r="AB9" s="116"/>
      <c r="AC9" s="120">
        <v>4</v>
      </c>
      <c r="AD9" s="113"/>
      <c r="AE9" s="119"/>
      <c r="AF9" s="120"/>
      <c r="AG9" s="63">
        <f>AVERAGE(AB9:AF9)</f>
        <v>4</v>
      </c>
    </row>
    <row r="10" spans="2:33" ht="14">
      <c r="B10" s="31">
        <f t="shared" ref="B10:B36" si="1">B9+1</f>
        <v>3</v>
      </c>
      <c r="C10" s="158" t="s">
        <v>74</v>
      </c>
      <c r="D10" s="116"/>
      <c r="E10" s="114"/>
      <c r="F10" s="114">
        <v>4</v>
      </c>
      <c r="G10" s="115"/>
      <c r="H10" s="117"/>
      <c r="I10" s="40">
        <f t="shared" si="0"/>
        <v>4</v>
      </c>
      <c r="J10" s="121">
        <v>4</v>
      </c>
      <c r="K10" s="114">
        <v>3</v>
      </c>
      <c r="L10" s="114">
        <v>3</v>
      </c>
      <c r="M10" s="115"/>
      <c r="N10" s="115"/>
      <c r="O10" s="51">
        <f t="shared" ref="O10:O36" si="2">AVERAGE(J10:N10)</f>
        <v>3.3333333333333335</v>
      </c>
      <c r="P10" s="121"/>
      <c r="Q10" s="114"/>
      <c r="R10" s="114"/>
      <c r="S10" s="115">
        <v>3.5</v>
      </c>
      <c r="T10" s="115"/>
      <c r="U10" s="52">
        <f t="shared" ref="U10:U36" si="3">AVERAGE(P10:T10)</f>
        <v>3.5</v>
      </c>
      <c r="V10" s="115">
        <v>3.5</v>
      </c>
      <c r="W10" s="115">
        <v>3.5</v>
      </c>
      <c r="X10" s="115"/>
      <c r="Y10" s="115"/>
      <c r="Z10" s="115"/>
      <c r="AA10" s="51">
        <f>AVERAGE(V10:Z10)</f>
        <v>3.5</v>
      </c>
      <c r="AB10" s="121"/>
      <c r="AC10" s="115">
        <v>3.8</v>
      </c>
      <c r="AD10" s="121"/>
      <c r="AE10" s="115"/>
      <c r="AF10" s="115"/>
      <c r="AG10" s="63">
        <f>AVERAGE(AB10:AF10)</f>
        <v>3.8</v>
      </c>
    </row>
    <row r="11" spans="2:33" ht="14">
      <c r="B11" s="31">
        <f t="shared" si="1"/>
        <v>4</v>
      </c>
      <c r="C11" s="158" t="s">
        <v>75</v>
      </c>
      <c r="D11" s="116"/>
      <c r="E11" s="114"/>
      <c r="F11" s="114">
        <v>3.8</v>
      </c>
      <c r="G11" s="115"/>
      <c r="H11" s="117"/>
      <c r="I11" s="40">
        <f t="shared" si="0"/>
        <v>3.8</v>
      </c>
      <c r="J11" s="121">
        <v>3.5</v>
      </c>
      <c r="K11" s="114">
        <v>3.3</v>
      </c>
      <c r="L11" s="114">
        <v>3.5</v>
      </c>
      <c r="M11" s="115"/>
      <c r="N11" s="115"/>
      <c r="O11" s="51">
        <f t="shared" si="2"/>
        <v>3.4333333333333336</v>
      </c>
      <c r="P11" s="121"/>
      <c r="Q11" s="114"/>
      <c r="R11" s="114"/>
      <c r="S11" s="115">
        <v>4</v>
      </c>
      <c r="T11" s="115"/>
      <c r="U11" s="52">
        <f t="shared" si="3"/>
        <v>4</v>
      </c>
      <c r="V11" s="115"/>
      <c r="W11" s="115">
        <v>3.7</v>
      </c>
      <c r="X11" s="115"/>
      <c r="Y11" s="115"/>
      <c r="Z11" s="115"/>
      <c r="AA11" s="51">
        <f t="shared" ref="AA11:AA36" si="4">AVERAGE(V11:Z11)</f>
        <v>3.7</v>
      </c>
      <c r="AB11" s="121">
        <v>3.5</v>
      </c>
      <c r="AC11" s="115">
        <v>3.8</v>
      </c>
      <c r="AD11" s="121"/>
      <c r="AE11" s="115"/>
      <c r="AF11" s="115"/>
      <c r="AG11" s="63">
        <f t="shared" ref="AG11:AG36" si="5">AVERAGE(AB11:AF11)</f>
        <v>3.65</v>
      </c>
    </row>
    <row r="12" spans="2:33" ht="14">
      <c r="B12" s="31">
        <f t="shared" si="1"/>
        <v>5</v>
      </c>
      <c r="C12" s="158" t="s">
        <v>76</v>
      </c>
      <c r="D12" s="116"/>
      <c r="E12" s="114"/>
      <c r="F12" s="114">
        <v>4</v>
      </c>
      <c r="G12" s="115">
        <v>5</v>
      </c>
      <c r="H12" s="117"/>
      <c r="I12" s="40">
        <f t="shared" si="0"/>
        <v>4.5</v>
      </c>
      <c r="J12" s="121">
        <v>4.5</v>
      </c>
      <c r="K12" s="114">
        <v>3.5</v>
      </c>
      <c r="L12" s="114">
        <v>3</v>
      </c>
      <c r="M12" s="115">
        <v>4</v>
      </c>
      <c r="N12" s="115"/>
      <c r="O12" s="51">
        <f t="shared" si="2"/>
        <v>3.75</v>
      </c>
      <c r="P12" s="121"/>
      <c r="Q12" s="114"/>
      <c r="R12" s="114"/>
      <c r="S12" s="115">
        <v>4</v>
      </c>
      <c r="T12" s="115"/>
      <c r="U12" s="52">
        <f t="shared" si="3"/>
        <v>4</v>
      </c>
      <c r="V12" s="115"/>
      <c r="W12" s="115">
        <v>3.8</v>
      </c>
      <c r="X12" s="115"/>
      <c r="Y12" s="115"/>
      <c r="Z12" s="115"/>
      <c r="AA12" s="51">
        <f t="shared" si="4"/>
        <v>3.8</v>
      </c>
      <c r="AB12" s="121">
        <v>3.5</v>
      </c>
      <c r="AC12" s="115">
        <v>4</v>
      </c>
      <c r="AD12" s="121"/>
      <c r="AE12" s="115"/>
      <c r="AF12" s="115"/>
      <c r="AG12" s="63">
        <f t="shared" si="5"/>
        <v>3.75</v>
      </c>
    </row>
    <row r="13" spans="2:33" ht="14">
      <c r="B13" s="31">
        <f t="shared" si="1"/>
        <v>6</v>
      </c>
      <c r="C13" s="160" t="s">
        <v>77</v>
      </c>
      <c r="D13" s="116"/>
      <c r="E13" s="114"/>
      <c r="F13" s="114">
        <v>5</v>
      </c>
      <c r="G13" s="115"/>
      <c r="H13" s="117"/>
      <c r="I13" s="40">
        <f t="shared" si="0"/>
        <v>5</v>
      </c>
      <c r="J13" s="121">
        <v>4</v>
      </c>
      <c r="K13" s="114">
        <v>3.5</v>
      </c>
      <c r="L13" s="114">
        <v>3</v>
      </c>
      <c r="M13" s="115"/>
      <c r="N13" s="115"/>
      <c r="O13" s="51">
        <f t="shared" si="2"/>
        <v>3.5</v>
      </c>
      <c r="P13" s="121"/>
      <c r="Q13" s="114"/>
      <c r="R13" s="114"/>
      <c r="S13" s="115">
        <v>3.5</v>
      </c>
      <c r="T13" s="115"/>
      <c r="U13" s="52">
        <f t="shared" si="3"/>
        <v>3.5</v>
      </c>
      <c r="V13" s="115"/>
      <c r="W13" s="115">
        <v>4.5</v>
      </c>
      <c r="X13" s="115"/>
      <c r="Y13" s="115"/>
      <c r="Z13" s="115"/>
      <c r="AA13" s="51">
        <f t="shared" si="4"/>
        <v>4.5</v>
      </c>
      <c r="AB13" s="121">
        <v>4</v>
      </c>
      <c r="AC13" s="115">
        <v>4</v>
      </c>
      <c r="AD13" s="121"/>
      <c r="AE13" s="115"/>
      <c r="AF13" s="115"/>
      <c r="AG13" s="63">
        <f t="shared" si="5"/>
        <v>4</v>
      </c>
    </row>
    <row r="14" spans="2:33" ht="14">
      <c r="B14" s="31">
        <f t="shared" si="1"/>
        <v>7</v>
      </c>
      <c r="C14" s="158" t="s">
        <v>78</v>
      </c>
      <c r="D14" s="116"/>
      <c r="E14" s="114"/>
      <c r="F14" s="114">
        <v>5</v>
      </c>
      <c r="G14" s="115"/>
      <c r="H14" s="117"/>
      <c r="I14" s="40">
        <f t="shared" si="0"/>
        <v>5</v>
      </c>
      <c r="J14" s="121">
        <v>4</v>
      </c>
      <c r="K14" s="114">
        <v>3.8</v>
      </c>
      <c r="L14" s="114">
        <v>3.5</v>
      </c>
      <c r="M14" s="115"/>
      <c r="N14" s="115"/>
      <c r="O14" s="51">
        <f t="shared" si="2"/>
        <v>3.7666666666666671</v>
      </c>
      <c r="P14" s="121"/>
      <c r="Q14" s="114"/>
      <c r="R14" s="114"/>
      <c r="S14" s="115">
        <v>3.8</v>
      </c>
      <c r="T14" s="115"/>
      <c r="U14" s="52">
        <f t="shared" si="3"/>
        <v>3.8</v>
      </c>
      <c r="V14" s="115"/>
      <c r="W14" s="115">
        <v>4.5</v>
      </c>
      <c r="X14" s="115"/>
      <c r="Y14" s="115"/>
      <c r="Z14" s="115"/>
      <c r="AA14" s="51">
        <f t="shared" si="4"/>
        <v>4.5</v>
      </c>
      <c r="AB14" s="121">
        <v>4</v>
      </c>
      <c r="AC14" s="115">
        <v>4</v>
      </c>
      <c r="AD14" s="121"/>
      <c r="AE14" s="115"/>
      <c r="AF14" s="115"/>
      <c r="AG14" s="63">
        <f t="shared" si="5"/>
        <v>4</v>
      </c>
    </row>
    <row r="15" spans="2:33" ht="14">
      <c r="B15" s="31">
        <f t="shared" si="1"/>
        <v>8</v>
      </c>
      <c r="C15" s="158" t="s">
        <v>79</v>
      </c>
      <c r="D15" s="116"/>
      <c r="E15" s="114"/>
      <c r="F15" s="114">
        <v>4.5</v>
      </c>
      <c r="G15" s="115">
        <v>5</v>
      </c>
      <c r="H15" s="117"/>
      <c r="I15" s="40">
        <f t="shared" si="0"/>
        <v>4.75</v>
      </c>
      <c r="J15" s="121">
        <v>4</v>
      </c>
      <c r="K15" s="114">
        <v>3.5</v>
      </c>
      <c r="L15" s="114">
        <v>3.7</v>
      </c>
      <c r="M15" s="115"/>
      <c r="N15" s="115"/>
      <c r="O15" s="51">
        <f t="shared" si="2"/>
        <v>3.7333333333333329</v>
      </c>
      <c r="P15" s="121"/>
      <c r="Q15" s="114"/>
      <c r="R15" s="114"/>
      <c r="S15" s="115">
        <v>4</v>
      </c>
      <c r="T15" s="115"/>
      <c r="U15" s="52">
        <f t="shared" si="3"/>
        <v>4</v>
      </c>
      <c r="V15" s="115"/>
      <c r="W15" s="115">
        <v>4</v>
      </c>
      <c r="X15" s="115"/>
      <c r="Y15" s="115"/>
      <c r="Z15" s="115"/>
      <c r="AA15" s="51">
        <f t="shared" si="4"/>
        <v>4</v>
      </c>
      <c r="AB15" s="121">
        <v>4</v>
      </c>
      <c r="AC15" s="115">
        <v>3.5</v>
      </c>
      <c r="AD15" s="121">
        <v>4</v>
      </c>
      <c r="AE15" s="115"/>
      <c r="AF15" s="115"/>
      <c r="AG15" s="63">
        <f t="shared" si="5"/>
        <v>3.8333333333333335</v>
      </c>
    </row>
    <row r="16" spans="2:33" ht="14">
      <c r="B16" s="31">
        <f t="shared" si="1"/>
        <v>9</v>
      </c>
      <c r="C16" s="158" t="s">
        <v>80</v>
      </c>
      <c r="D16" s="116"/>
      <c r="E16" s="114"/>
      <c r="F16" s="114">
        <v>4</v>
      </c>
      <c r="G16" s="115"/>
      <c r="H16" s="117"/>
      <c r="I16" s="40">
        <f t="shared" si="0"/>
        <v>4</v>
      </c>
      <c r="J16" s="121">
        <v>3</v>
      </c>
      <c r="K16" s="114">
        <v>3.5</v>
      </c>
      <c r="L16" s="114">
        <v>3.5</v>
      </c>
      <c r="M16" s="115"/>
      <c r="N16" s="115"/>
      <c r="O16" s="51">
        <f t="shared" si="2"/>
        <v>3.3333333333333335</v>
      </c>
      <c r="P16" s="121"/>
      <c r="Q16" s="114"/>
      <c r="R16" s="114"/>
      <c r="S16" s="115">
        <v>3.5</v>
      </c>
      <c r="T16" s="115"/>
      <c r="U16" s="52">
        <f t="shared" si="3"/>
        <v>3.5</v>
      </c>
      <c r="V16" s="115"/>
      <c r="W16" s="115">
        <v>3.5</v>
      </c>
      <c r="X16" s="115"/>
      <c r="Y16" s="115"/>
      <c r="Z16" s="115"/>
      <c r="AA16" s="51">
        <f t="shared" si="4"/>
        <v>3.5</v>
      </c>
      <c r="AB16" s="121">
        <v>3.5</v>
      </c>
      <c r="AC16" s="115">
        <v>3.5</v>
      </c>
      <c r="AD16" s="121"/>
      <c r="AE16" s="115"/>
      <c r="AF16" s="115"/>
      <c r="AG16" s="63">
        <f t="shared" si="5"/>
        <v>3.5</v>
      </c>
    </row>
    <row r="17" spans="2:33" ht="14">
      <c r="B17" s="31">
        <f t="shared" si="1"/>
        <v>10</v>
      </c>
      <c r="C17" s="158" t="s">
        <v>81</v>
      </c>
      <c r="D17" s="116"/>
      <c r="E17" s="114"/>
      <c r="F17" s="114">
        <v>3</v>
      </c>
      <c r="G17" s="115">
        <v>4</v>
      </c>
      <c r="H17" s="117"/>
      <c r="I17" s="40">
        <f t="shared" si="0"/>
        <v>3.5</v>
      </c>
      <c r="J17" s="121">
        <v>3.5</v>
      </c>
      <c r="K17" s="114">
        <v>3.5</v>
      </c>
      <c r="L17" s="114">
        <v>3.5</v>
      </c>
      <c r="M17" s="115"/>
      <c r="N17" s="115"/>
      <c r="O17" s="51">
        <f t="shared" si="2"/>
        <v>3.5</v>
      </c>
      <c r="P17" s="121"/>
      <c r="Q17" s="114"/>
      <c r="R17" s="114"/>
      <c r="S17" s="115">
        <v>4</v>
      </c>
      <c r="T17" s="115"/>
      <c r="U17" s="52">
        <f t="shared" si="3"/>
        <v>4</v>
      </c>
      <c r="V17" s="115"/>
      <c r="W17" s="115">
        <v>3.7</v>
      </c>
      <c r="X17" s="115">
        <v>4</v>
      </c>
      <c r="Y17" s="115"/>
      <c r="Z17" s="115"/>
      <c r="AA17" s="51">
        <f t="shared" si="4"/>
        <v>3.85</v>
      </c>
      <c r="AB17" s="121">
        <v>4</v>
      </c>
      <c r="AC17" s="115">
        <v>4</v>
      </c>
      <c r="AD17" s="121"/>
      <c r="AE17" s="115"/>
      <c r="AF17" s="115"/>
      <c r="AG17" s="63">
        <f t="shared" si="5"/>
        <v>4</v>
      </c>
    </row>
    <row r="18" spans="2:33" ht="14">
      <c r="B18" s="31">
        <f t="shared" si="1"/>
        <v>11</v>
      </c>
      <c r="C18" s="158" t="s">
        <v>82</v>
      </c>
      <c r="D18" s="116"/>
      <c r="E18" s="114"/>
      <c r="F18" s="114">
        <v>5</v>
      </c>
      <c r="G18" s="115"/>
      <c r="H18" s="117"/>
      <c r="I18" s="40">
        <f t="shared" si="0"/>
        <v>5</v>
      </c>
      <c r="J18" s="121">
        <v>4</v>
      </c>
      <c r="K18" s="114">
        <v>3</v>
      </c>
      <c r="L18" s="114">
        <v>3.5</v>
      </c>
      <c r="M18" s="115"/>
      <c r="N18" s="115"/>
      <c r="O18" s="51">
        <f t="shared" si="2"/>
        <v>3.5</v>
      </c>
      <c r="P18" s="121"/>
      <c r="Q18" s="114"/>
      <c r="R18" s="114"/>
      <c r="S18" s="115">
        <v>3.5</v>
      </c>
      <c r="T18" s="115"/>
      <c r="U18" s="52">
        <f t="shared" si="3"/>
        <v>3.5</v>
      </c>
      <c r="V18" s="115"/>
      <c r="W18" s="115">
        <v>4.5</v>
      </c>
      <c r="X18" s="115"/>
      <c r="Y18" s="115"/>
      <c r="Z18" s="115"/>
      <c r="AA18" s="51">
        <f t="shared" si="4"/>
        <v>4.5</v>
      </c>
      <c r="AB18" s="121">
        <v>3.5</v>
      </c>
      <c r="AC18" s="115">
        <v>4</v>
      </c>
      <c r="AD18" s="121"/>
      <c r="AE18" s="115"/>
      <c r="AF18" s="115"/>
      <c r="AG18" s="63">
        <f t="shared" si="5"/>
        <v>3.75</v>
      </c>
    </row>
    <row r="19" spans="2:33" ht="14">
      <c r="B19" s="31">
        <f t="shared" si="1"/>
        <v>12</v>
      </c>
      <c r="C19" s="158" t="s">
        <v>83</v>
      </c>
      <c r="D19" s="116"/>
      <c r="E19" s="114"/>
      <c r="F19" s="114">
        <v>4</v>
      </c>
      <c r="G19" s="115"/>
      <c r="H19" s="117"/>
      <c r="I19" s="40">
        <f t="shared" si="0"/>
        <v>4</v>
      </c>
      <c r="J19" s="121">
        <v>3.5</v>
      </c>
      <c r="K19" s="114">
        <v>3</v>
      </c>
      <c r="L19" s="114">
        <v>3.3</v>
      </c>
      <c r="M19" s="115"/>
      <c r="N19" s="115"/>
      <c r="O19" s="51">
        <f t="shared" si="2"/>
        <v>3.2666666666666671</v>
      </c>
      <c r="P19" s="121"/>
      <c r="Q19" s="114"/>
      <c r="R19" s="114"/>
      <c r="S19" s="115">
        <v>3.8</v>
      </c>
      <c r="T19" s="115"/>
      <c r="U19" s="52">
        <f t="shared" si="3"/>
        <v>3.8</v>
      </c>
      <c r="V19" s="115"/>
      <c r="W19" s="115">
        <v>3.8</v>
      </c>
      <c r="X19" s="115"/>
      <c r="Y19" s="115"/>
      <c r="Z19" s="115"/>
      <c r="AA19" s="51">
        <f t="shared" si="4"/>
        <v>3.8</v>
      </c>
      <c r="AB19" s="121">
        <v>4</v>
      </c>
      <c r="AC19" s="115">
        <v>4</v>
      </c>
      <c r="AD19" s="121"/>
      <c r="AE19" s="115"/>
      <c r="AF19" s="115"/>
      <c r="AG19" s="63">
        <f t="shared" si="5"/>
        <v>4</v>
      </c>
    </row>
    <row r="20" spans="2:33" ht="14">
      <c r="B20" s="31">
        <f t="shared" si="1"/>
        <v>13</v>
      </c>
      <c r="C20" s="125"/>
      <c r="D20" s="116"/>
      <c r="E20" s="114"/>
      <c r="F20" s="114"/>
      <c r="G20" s="115"/>
      <c r="H20" s="117"/>
      <c r="I20" s="40" t="e">
        <f t="shared" si="0"/>
        <v>#DIV/0!</v>
      </c>
      <c r="J20" s="121"/>
      <c r="K20" s="114"/>
      <c r="L20" s="114"/>
      <c r="M20" s="115"/>
      <c r="N20" s="115"/>
      <c r="O20" s="51" t="e">
        <f t="shared" si="2"/>
        <v>#DIV/0!</v>
      </c>
      <c r="P20" s="121"/>
      <c r="Q20" s="114"/>
      <c r="R20" s="114"/>
      <c r="S20" s="115"/>
      <c r="T20" s="115"/>
      <c r="U20" s="52" t="e">
        <f t="shared" si="3"/>
        <v>#DIV/0!</v>
      </c>
      <c r="V20" s="115"/>
      <c r="W20" s="115"/>
      <c r="X20" s="115"/>
      <c r="Y20" s="115"/>
      <c r="Z20" s="115"/>
      <c r="AA20" s="51" t="e">
        <f t="shared" si="4"/>
        <v>#DIV/0!</v>
      </c>
      <c r="AB20" s="121"/>
      <c r="AC20" s="115"/>
      <c r="AD20" s="121"/>
      <c r="AE20" s="115"/>
      <c r="AF20" s="115"/>
      <c r="AG20" s="63" t="e">
        <f t="shared" si="5"/>
        <v>#DIV/0!</v>
      </c>
    </row>
    <row r="21" spans="2:33" ht="14">
      <c r="B21" s="31">
        <f t="shared" si="1"/>
        <v>14</v>
      </c>
      <c r="C21" s="125"/>
      <c r="D21" s="116"/>
      <c r="E21" s="114"/>
      <c r="F21" s="114"/>
      <c r="G21" s="115"/>
      <c r="H21" s="117"/>
      <c r="I21" s="40" t="e">
        <f t="shared" si="0"/>
        <v>#DIV/0!</v>
      </c>
      <c r="J21" s="121"/>
      <c r="K21" s="114"/>
      <c r="L21" s="114"/>
      <c r="M21" s="115"/>
      <c r="N21" s="115"/>
      <c r="O21" s="51" t="e">
        <f t="shared" si="2"/>
        <v>#DIV/0!</v>
      </c>
      <c r="P21" s="121"/>
      <c r="Q21" s="114"/>
      <c r="R21" s="114"/>
      <c r="S21" s="115"/>
      <c r="T21" s="115"/>
      <c r="U21" s="52" t="e">
        <f t="shared" si="3"/>
        <v>#DIV/0!</v>
      </c>
      <c r="V21" s="115"/>
      <c r="W21" s="115"/>
      <c r="X21" s="115"/>
      <c r="Y21" s="115"/>
      <c r="Z21" s="115"/>
      <c r="AA21" s="51" t="e">
        <f t="shared" si="4"/>
        <v>#DIV/0!</v>
      </c>
      <c r="AB21" s="121"/>
      <c r="AC21" s="115"/>
      <c r="AD21" s="121"/>
      <c r="AE21" s="115"/>
      <c r="AF21" s="115"/>
      <c r="AG21" s="63" t="e">
        <f t="shared" si="5"/>
        <v>#DIV/0!</v>
      </c>
    </row>
    <row r="22" spans="2:33" ht="14">
      <c r="B22" s="31">
        <f t="shared" si="1"/>
        <v>15</v>
      </c>
      <c r="C22" s="125"/>
      <c r="D22" s="116"/>
      <c r="E22" s="114"/>
      <c r="F22" s="114"/>
      <c r="G22" s="115"/>
      <c r="H22" s="117"/>
      <c r="I22" s="40" t="e">
        <f t="shared" si="0"/>
        <v>#DIV/0!</v>
      </c>
      <c r="J22" s="121"/>
      <c r="K22" s="114"/>
      <c r="L22" s="114"/>
      <c r="M22" s="115"/>
      <c r="N22" s="115"/>
      <c r="O22" s="51" t="e">
        <f t="shared" si="2"/>
        <v>#DIV/0!</v>
      </c>
      <c r="P22" s="121"/>
      <c r="Q22" s="114"/>
      <c r="R22" s="114"/>
      <c r="S22" s="115"/>
      <c r="T22" s="115"/>
      <c r="U22" s="52" t="e">
        <f t="shared" si="3"/>
        <v>#DIV/0!</v>
      </c>
      <c r="V22" s="115"/>
      <c r="W22" s="115"/>
      <c r="X22" s="115"/>
      <c r="Y22" s="115"/>
      <c r="Z22" s="115"/>
      <c r="AA22" s="51" t="e">
        <f t="shared" si="4"/>
        <v>#DIV/0!</v>
      </c>
      <c r="AB22" s="121"/>
      <c r="AC22" s="115"/>
      <c r="AD22" s="121"/>
      <c r="AE22" s="115"/>
      <c r="AF22" s="115"/>
      <c r="AG22" s="63" t="e">
        <f t="shared" si="5"/>
        <v>#DIV/0!</v>
      </c>
    </row>
    <row r="23" spans="2:33" ht="14">
      <c r="B23" s="31">
        <f t="shared" si="1"/>
        <v>16</v>
      </c>
      <c r="C23" s="126"/>
      <c r="D23" s="116"/>
      <c r="E23" s="114"/>
      <c r="F23" s="114"/>
      <c r="G23" s="115"/>
      <c r="H23" s="117"/>
      <c r="I23" s="40" t="e">
        <f t="shared" si="0"/>
        <v>#DIV/0!</v>
      </c>
      <c r="J23" s="121"/>
      <c r="K23" s="114"/>
      <c r="L23" s="114"/>
      <c r="M23" s="115"/>
      <c r="N23" s="115"/>
      <c r="O23" s="51" t="e">
        <f t="shared" si="2"/>
        <v>#DIV/0!</v>
      </c>
      <c r="P23" s="121"/>
      <c r="Q23" s="114"/>
      <c r="R23" s="114"/>
      <c r="S23" s="115"/>
      <c r="T23" s="115"/>
      <c r="U23" s="52" t="e">
        <f t="shared" si="3"/>
        <v>#DIV/0!</v>
      </c>
      <c r="V23" s="115"/>
      <c r="W23" s="115"/>
      <c r="X23" s="115"/>
      <c r="Y23" s="115"/>
      <c r="Z23" s="115"/>
      <c r="AA23" s="51" t="e">
        <f t="shared" si="4"/>
        <v>#DIV/0!</v>
      </c>
      <c r="AB23" s="121"/>
      <c r="AC23" s="115"/>
      <c r="AD23" s="121"/>
      <c r="AE23" s="115"/>
      <c r="AF23" s="115"/>
      <c r="AG23" s="63" t="e">
        <f t="shared" si="5"/>
        <v>#DIV/0!</v>
      </c>
    </row>
    <row r="24" spans="2:33" ht="14">
      <c r="B24" s="31">
        <f t="shared" si="1"/>
        <v>17</v>
      </c>
      <c r="C24" s="108"/>
      <c r="D24" s="116"/>
      <c r="E24" s="114"/>
      <c r="F24" s="114"/>
      <c r="G24" s="115"/>
      <c r="H24" s="117"/>
      <c r="I24" s="40" t="e">
        <f t="shared" si="0"/>
        <v>#DIV/0!</v>
      </c>
      <c r="J24" s="121"/>
      <c r="K24" s="114"/>
      <c r="L24" s="114"/>
      <c r="M24" s="115"/>
      <c r="N24" s="115"/>
      <c r="O24" s="51" t="e">
        <f t="shared" si="2"/>
        <v>#DIV/0!</v>
      </c>
      <c r="P24" s="121"/>
      <c r="Q24" s="114"/>
      <c r="R24" s="114"/>
      <c r="S24" s="115"/>
      <c r="T24" s="115"/>
      <c r="U24" s="52" t="e">
        <f t="shared" si="3"/>
        <v>#DIV/0!</v>
      </c>
      <c r="V24" s="115"/>
      <c r="W24" s="115"/>
      <c r="X24" s="115"/>
      <c r="Y24" s="115"/>
      <c r="Z24" s="115"/>
      <c r="AA24" s="51" t="e">
        <f t="shared" si="4"/>
        <v>#DIV/0!</v>
      </c>
      <c r="AB24" s="121"/>
      <c r="AC24" s="115"/>
      <c r="AD24" s="121"/>
      <c r="AE24" s="115"/>
      <c r="AF24" s="115"/>
      <c r="AG24" s="63" t="e">
        <f t="shared" si="5"/>
        <v>#DIV/0!</v>
      </c>
    </row>
    <row r="25" spans="2:33" ht="14">
      <c r="B25" s="31">
        <f t="shared" si="1"/>
        <v>18</v>
      </c>
      <c r="C25" s="109"/>
      <c r="D25" s="50"/>
      <c r="E25" s="29"/>
      <c r="F25" s="29"/>
      <c r="G25" s="34"/>
      <c r="H25" s="35"/>
      <c r="I25" s="40" t="e">
        <f t="shared" si="0"/>
        <v>#DIV/0!</v>
      </c>
      <c r="J25" s="28"/>
      <c r="K25" s="29"/>
      <c r="L25" s="29"/>
      <c r="M25" s="34"/>
      <c r="N25" s="34"/>
      <c r="O25" s="51" t="e">
        <f t="shared" si="2"/>
        <v>#DIV/0!</v>
      </c>
      <c r="P25" s="28"/>
      <c r="Q25" s="29"/>
      <c r="R25" s="29"/>
      <c r="S25" s="34"/>
      <c r="T25" s="34"/>
      <c r="U25" s="52" t="e">
        <f t="shared" si="3"/>
        <v>#DIV/0!</v>
      </c>
      <c r="V25" s="34"/>
      <c r="W25" s="34"/>
      <c r="X25" s="34"/>
      <c r="Y25" s="34"/>
      <c r="Z25" s="34"/>
      <c r="AA25" s="51" t="e">
        <f t="shared" si="4"/>
        <v>#DIV/0!</v>
      </c>
      <c r="AB25" s="28"/>
      <c r="AC25" s="34"/>
      <c r="AD25" s="28"/>
      <c r="AE25" s="34"/>
      <c r="AF25" s="34"/>
      <c r="AG25" s="63" t="e">
        <f t="shared" si="5"/>
        <v>#DIV/0!</v>
      </c>
    </row>
    <row r="26" spans="2:33" ht="14">
      <c r="B26" s="31">
        <f t="shared" si="1"/>
        <v>19</v>
      </c>
      <c r="C26" s="107"/>
      <c r="D26" s="50"/>
      <c r="E26" s="29"/>
      <c r="F26" s="29"/>
      <c r="G26" s="34"/>
      <c r="H26" s="35"/>
      <c r="I26" s="40" t="e">
        <f t="shared" si="0"/>
        <v>#DIV/0!</v>
      </c>
      <c r="J26" s="28"/>
      <c r="K26" s="29"/>
      <c r="L26" s="29"/>
      <c r="M26" s="34"/>
      <c r="N26" s="34"/>
      <c r="O26" s="51" t="e">
        <f t="shared" si="2"/>
        <v>#DIV/0!</v>
      </c>
      <c r="P26" s="28"/>
      <c r="Q26" s="29"/>
      <c r="R26" s="29"/>
      <c r="S26" s="34"/>
      <c r="T26" s="34"/>
      <c r="U26" s="52" t="e">
        <f t="shared" si="3"/>
        <v>#DIV/0!</v>
      </c>
      <c r="V26" s="34"/>
      <c r="W26" s="34"/>
      <c r="X26" s="34"/>
      <c r="Y26" s="34"/>
      <c r="Z26" s="34"/>
      <c r="AA26" s="51" t="e">
        <f t="shared" si="4"/>
        <v>#DIV/0!</v>
      </c>
      <c r="AB26" s="28"/>
      <c r="AC26" s="34"/>
      <c r="AD26" s="28"/>
      <c r="AE26" s="34"/>
      <c r="AF26" s="34"/>
      <c r="AG26" s="63" t="e">
        <f t="shared" si="5"/>
        <v>#DIV/0!</v>
      </c>
    </row>
    <row r="27" spans="2:33" ht="15.5">
      <c r="B27" s="31">
        <f t="shared" si="1"/>
        <v>20</v>
      </c>
      <c r="C27" s="110"/>
      <c r="D27" s="50"/>
      <c r="E27" s="29"/>
      <c r="F27" s="29"/>
      <c r="G27" s="34"/>
      <c r="H27" s="35"/>
      <c r="I27" s="40" t="e">
        <f t="shared" si="0"/>
        <v>#DIV/0!</v>
      </c>
      <c r="J27" s="28"/>
      <c r="K27" s="29"/>
      <c r="L27" s="29"/>
      <c r="M27" s="34"/>
      <c r="N27" s="34"/>
      <c r="O27" s="51" t="e">
        <f t="shared" si="2"/>
        <v>#DIV/0!</v>
      </c>
      <c r="P27" s="28"/>
      <c r="Q27" s="29"/>
      <c r="R27" s="29"/>
      <c r="S27" s="34"/>
      <c r="T27" s="34"/>
      <c r="U27" s="52" t="e">
        <f t="shared" si="3"/>
        <v>#DIV/0!</v>
      </c>
      <c r="V27" s="34"/>
      <c r="W27" s="34"/>
      <c r="X27" s="34"/>
      <c r="Y27" s="34"/>
      <c r="Z27" s="34"/>
      <c r="AA27" s="51" t="e">
        <f t="shared" si="4"/>
        <v>#DIV/0!</v>
      </c>
      <c r="AB27" s="28"/>
      <c r="AC27" s="34"/>
      <c r="AD27" s="28"/>
      <c r="AE27" s="34"/>
      <c r="AF27" s="34"/>
      <c r="AG27" s="63" t="e">
        <f t="shared" si="5"/>
        <v>#DIV/0!</v>
      </c>
    </row>
    <row r="28" spans="2:33" ht="15.5">
      <c r="B28" s="31">
        <f t="shared" si="1"/>
        <v>21</v>
      </c>
      <c r="C28" s="55"/>
      <c r="D28" s="50"/>
      <c r="E28" s="29"/>
      <c r="F28" s="29"/>
      <c r="G28" s="34"/>
      <c r="H28" s="35"/>
      <c r="I28" s="40" t="e">
        <f t="shared" si="0"/>
        <v>#DIV/0!</v>
      </c>
      <c r="J28" s="28"/>
      <c r="K28" s="29"/>
      <c r="L28" s="29"/>
      <c r="M28" s="34"/>
      <c r="N28" s="34"/>
      <c r="O28" s="51" t="e">
        <f t="shared" si="2"/>
        <v>#DIV/0!</v>
      </c>
      <c r="P28" s="28"/>
      <c r="Q28" s="29"/>
      <c r="R28" s="29"/>
      <c r="S28" s="34"/>
      <c r="T28" s="34"/>
      <c r="U28" s="52" t="e">
        <f t="shared" si="3"/>
        <v>#DIV/0!</v>
      </c>
      <c r="V28" s="34"/>
      <c r="W28" s="34"/>
      <c r="X28" s="34"/>
      <c r="Y28" s="34"/>
      <c r="Z28" s="34"/>
      <c r="AA28" s="51" t="e">
        <f t="shared" si="4"/>
        <v>#DIV/0!</v>
      </c>
      <c r="AB28" s="28"/>
      <c r="AC28" s="34"/>
      <c r="AD28" s="28"/>
      <c r="AE28" s="34"/>
      <c r="AF28" s="34"/>
      <c r="AG28" s="63" t="e">
        <f t="shared" si="5"/>
        <v>#DIV/0!</v>
      </c>
    </row>
    <row r="29" spans="2:33" ht="14">
      <c r="B29" s="31">
        <f t="shared" si="1"/>
        <v>22</v>
      </c>
      <c r="C29" s="109"/>
      <c r="D29" s="50"/>
      <c r="E29" s="29"/>
      <c r="F29" s="29"/>
      <c r="G29" s="34"/>
      <c r="H29" s="35"/>
      <c r="I29" s="40" t="e">
        <f t="shared" si="0"/>
        <v>#DIV/0!</v>
      </c>
      <c r="J29" s="28"/>
      <c r="K29" s="29"/>
      <c r="L29" s="29"/>
      <c r="M29" s="34"/>
      <c r="N29" s="34"/>
      <c r="O29" s="51" t="e">
        <f t="shared" si="2"/>
        <v>#DIV/0!</v>
      </c>
      <c r="P29" s="28"/>
      <c r="Q29" s="29"/>
      <c r="R29" s="29"/>
      <c r="S29" s="34"/>
      <c r="T29" s="34"/>
      <c r="U29" s="52" t="e">
        <f t="shared" si="3"/>
        <v>#DIV/0!</v>
      </c>
      <c r="V29" s="34"/>
      <c r="W29" s="34"/>
      <c r="X29" s="34"/>
      <c r="Y29" s="34"/>
      <c r="Z29" s="34"/>
      <c r="AA29" s="51" t="e">
        <f t="shared" si="4"/>
        <v>#DIV/0!</v>
      </c>
      <c r="AB29" s="28"/>
      <c r="AC29" s="34"/>
      <c r="AD29" s="28"/>
      <c r="AE29" s="34"/>
      <c r="AF29" s="34"/>
      <c r="AG29" s="63" t="e">
        <f t="shared" si="5"/>
        <v>#DIV/0!</v>
      </c>
    </row>
    <row r="30" spans="2:33" ht="15.5">
      <c r="B30" s="31">
        <f t="shared" si="1"/>
        <v>23</v>
      </c>
      <c r="C30" s="55"/>
      <c r="D30" s="50"/>
      <c r="E30" s="29"/>
      <c r="F30" s="29"/>
      <c r="G30" s="34"/>
      <c r="H30" s="35"/>
      <c r="I30" s="40" t="e">
        <f t="shared" si="0"/>
        <v>#DIV/0!</v>
      </c>
      <c r="J30" s="28"/>
      <c r="K30" s="29"/>
      <c r="L30" s="29"/>
      <c r="M30" s="34"/>
      <c r="N30" s="34"/>
      <c r="O30" s="51" t="e">
        <f t="shared" si="2"/>
        <v>#DIV/0!</v>
      </c>
      <c r="P30" s="28"/>
      <c r="Q30" s="29"/>
      <c r="R30" s="29"/>
      <c r="S30" s="34"/>
      <c r="T30" s="34"/>
      <c r="U30" s="52" t="e">
        <f t="shared" si="3"/>
        <v>#DIV/0!</v>
      </c>
      <c r="V30" s="34"/>
      <c r="W30" s="34"/>
      <c r="X30" s="34"/>
      <c r="Y30" s="34"/>
      <c r="Z30" s="34"/>
      <c r="AA30" s="51" t="e">
        <f t="shared" si="4"/>
        <v>#DIV/0!</v>
      </c>
      <c r="AB30" s="28"/>
      <c r="AC30" s="34"/>
      <c r="AD30" s="28"/>
      <c r="AE30" s="34"/>
      <c r="AF30" s="34"/>
      <c r="AG30" s="63" t="e">
        <f t="shared" si="5"/>
        <v>#DIV/0!</v>
      </c>
    </row>
    <row r="31" spans="2:33" ht="14">
      <c r="B31" s="31">
        <f t="shared" si="1"/>
        <v>24</v>
      </c>
      <c r="C31" s="107"/>
      <c r="D31" s="50"/>
      <c r="E31" s="29"/>
      <c r="F31" s="29"/>
      <c r="G31" s="34"/>
      <c r="H31" s="35"/>
      <c r="I31" s="40" t="e">
        <f t="shared" si="0"/>
        <v>#DIV/0!</v>
      </c>
      <c r="J31" s="28"/>
      <c r="K31" s="29"/>
      <c r="L31" s="29"/>
      <c r="M31" s="34"/>
      <c r="N31" s="34"/>
      <c r="O31" s="51" t="e">
        <f t="shared" si="2"/>
        <v>#DIV/0!</v>
      </c>
      <c r="P31" s="28"/>
      <c r="Q31" s="29"/>
      <c r="R31" s="29"/>
      <c r="S31" s="34"/>
      <c r="T31" s="34"/>
      <c r="U31" s="52" t="e">
        <f t="shared" si="3"/>
        <v>#DIV/0!</v>
      </c>
      <c r="V31" s="34"/>
      <c r="W31" s="34"/>
      <c r="X31" s="34"/>
      <c r="Y31" s="34"/>
      <c r="Z31" s="34"/>
      <c r="AA31" s="51" t="e">
        <f t="shared" si="4"/>
        <v>#DIV/0!</v>
      </c>
      <c r="AB31" s="28"/>
      <c r="AC31" s="34"/>
      <c r="AD31" s="28"/>
      <c r="AE31" s="34"/>
      <c r="AF31" s="34"/>
      <c r="AG31" s="63" t="e">
        <f t="shared" si="5"/>
        <v>#DIV/0!</v>
      </c>
    </row>
    <row r="32" spans="2:33" ht="15.5">
      <c r="B32" s="31">
        <f t="shared" si="1"/>
        <v>25</v>
      </c>
      <c r="C32" s="54"/>
      <c r="D32" s="50"/>
      <c r="E32" s="29"/>
      <c r="F32" s="29"/>
      <c r="G32" s="34"/>
      <c r="H32" s="35"/>
      <c r="I32" s="40" t="e">
        <f t="shared" si="0"/>
        <v>#DIV/0!</v>
      </c>
      <c r="J32" s="28"/>
      <c r="K32" s="29"/>
      <c r="L32" s="29"/>
      <c r="M32" s="34"/>
      <c r="N32" s="34"/>
      <c r="O32" s="51" t="e">
        <f t="shared" si="2"/>
        <v>#DIV/0!</v>
      </c>
      <c r="P32" s="28"/>
      <c r="Q32" s="29"/>
      <c r="R32" s="29"/>
      <c r="S32" s="34"/>
      <c r="T32" s="34"/>
      <c r="U32" s="52" t="e">
        <f t="shared" si="3"/>
        <v>#DIV/0!</v>
      </c>
      <c r="V32" s="34"/>
      <c r="W32" s="34"/>
      <c r="X32" s="34"/>
      <c r="Y32" s="34"/>
      <c r="Z32" s="34"/>
      <c r="AA32" s="51" t="e">
        <f t="shared" si="4"/>
        <v>#DIV/0!</v>
      </c>
      <c r="AB32" s="28"/>
      <c r="AC32" s="34"/>
      <c r="AD32" s="28"/>
      <c r="AE32" s="34"/>
      <c r="AF32" s="34"/>
      <c r="AG32" s="63" t="e">
        <f t="shared" si="5"/>
        <v>#DIV/0!</v>
      </c>
    </row>
    <row r="33" spans="2:33" ht="15.5">
      <c r="B33" s="31">
        <f t="shared" si="1"/>
        <v>26</v>
      </c>
      <c r="C33" s="54"/>
      <c r="D33" s="50"/>
      <c r="E33" s="29"/>
      <c r="F33" s="29"/>
      <c r="G33" s="34"/>
      <c r="H33" s="35"/>
      <c r="I33" s="40" t="e">
        <f t="shared" si="0"/>
        <v>#DIV/0!</v>
      </c>
      <c r="J33" s="28"/>
      <c r="K33" s="29"/>
      <c r="L33" s="29"/>
      <c r="M33" s="34"/>
      <c r="N33" s="34"/>
      <c r="O33" s="51" t="e">
        <f t="shared" si="2"/>
        <v>#DIV/0!</v>
      </c>
      <c r="P33" s="28"/>
      <c r="Q33" s="29"/>
      <c r="R33" s="29"/>
      <c r="S33" s="34"/>
      <c r="T33" s="34"/>
      <c r="U33" s="52" t="e">
        <f t="shared" si="3"/>
        <v>#DIV/0!</v>
      </c>
      <c r="V33" s="34"/>
      <c r="W33" s="34"/>
      <c r="X33" s="34"/>
      <c r="Y33" s="34"/>
      <c r="Z33" s="34"/>
      <c r="AA33" s="51" t="e">
        <f t="shared" si="4"/>
        <v>#DIV/0!</v>
      </c>
      <c r="AB33" s="28"/>
      <c r="AC33" s="34"/>
      <c r="AD33" s="28"/>
      <c r="AE33" s="34"/>
      <c r="AF33" s="34"/>
      <c r="AG33" s="63" t="e">
        <f t="shared" si="5"/>
        <v>#DIV/0!</v>
      </c>
    </row>
    <row r="34" spans="2:33" ht="15.5">
      <c r="B34" s="31">
        <f t="shared" si="1"/>
        <v>27</v>
      </c>
      <c r="C34" s="54"/>
      <c r="D34" s="50"/>
      <c r="E34" s="29"/>
      <c r="F34" s="29"/>
      <c r="G34" s="34"/>
      <c r="H34" s="35"/>
      <c r="I34" s="40" t="e">
        <f t="shared" si="0"/>
        <v>#DIV/0!</v>
      </c>
      <c r="J34" s="28"/>
      <c r="K34" s="29"/>
      <c r="L34" s="29"/>
      <c r="M34" s="34"/>
      <c r="N34" s="34"/>
      <c r="O34" s="51" t="e">
        <f t="shared" si="2"/>
        <v>#DIV/0!</v>
      </c>
      <c r="P34" s="28"/>
      <c r="Q34" s="29"/>
      <c r="R34" s="29"/>
      <c r="S34" s="34"/>
      <c r="T34" s="34"/>
      <c r="U34" s="52" t="e">
        <f t="shared" si="3"/>
        <v>#DIV/0!</v>
      </c>
      <c r="V34" s="34"/>
      <c r="W34" s="34"/>
      <c r="X34" s="34"/>
      <c r="Y34" s="34"/>
      <c r="Z34" s="34"/>
      <c r="AA34" s="51" t="e">
        <f t="shared" si="4"/>
        <v>#DIV/0!</v>
      </c>
      <c r="AB34" s="28"/>
      <c r="AC34" s="34"/>
      <c r="AD34" s="34"/>
      <c r="AE34" s="34"/>
      <c r="AF34" s="34"/>
      <c r="AG34" s="63" t="e">
        <f t="shared" si="5"/>
        <v>#DIV/0!</v>
      </c>
    </row>
    <row r="35" spans="2:33" ht="14">
      <c r="B35" s="31">
        <f t="shared" si="1"/>
        <v>28</v>
      </c>
      <c r="C35" s="53"/>
      <c r="D35" s="50"/>
      <c r="E35" s="29"/>
      <c r="F35" s="29"/>
      <c r="G35" s="34"/>
      <c r="H35" s="35"/>
      <c r="I35" s="40" t="e">
        <f t="shared" si="0"/>
        <v>#DIV/0!</v>
      </c>
      <c r="J35" s="28"/>
      <c r="K35" s="29"/>
      <c r="L35" s="29"/>
      <c r="M35" s="34"/>
      <c r="N35" s="34"/>
      <c r="O35" s="51" t="e">
        <f t="shared" si="2"/>
        <v>#DIV/0!</v>
      </c>
      <c r="P35" s="28"/>
      <c r="Q35" s="29"/>
      <c r="R35" s="29"/>
      <c r="S35" s="34"/>
      <c r="T35" s="34"/>
      <c r="U35" s="52" t="e">
        <f t="shared" si="3"/>
        <v>#DIV/0!</v>
      </c>
      <c r="V35" s="34"/>
      <c r="W35" s="34"/>
      <c r="X35" s="34"/>
      <c r="Y35" s="34"/>
      <c r="Z35" s="34"/>
      <c r="AA35" s="51" t="e">
        <f t="shared" si="4"/>
        <v>#DIV/0!</v>
      </c>
      <c r="AB35" s="28"/>
      <c r="AC35" s="34"/>
      <c r="AD35" s="34"/>
      <c r="AE35" s="34"/>
      <c r="AF35" s="34"/>
      <c r="AG35" s="63" t="e">
        <f t="shared" si="5"/>
        <v>#DIV/0!</v>
      </c>
    </row>
    <row r="36" spans="2:33" ht="14.5" thickBot="1">
      <c r="B36" s="31">
        <f t="shared" si="1"/>
        <v>29</v>
      </c>
      <c r="C36" s="48"/>
      <c r="D36" s="28"/>
      <c r="E36" s="29"/>
      <c r="F36" s="29"/>
      <c r="G36" s="34"/>
      <c r="H36" s="35"/>
      <c r="I36" s="40" t="e">
        <f t="shared" si="0"/>
        <v>#DIV/0!</v>
      </c>
      <c r="J36" s="28"/>
      <c r="K36" s="29"/>
      <c r="L36" s="29"/>
      <c r="M36" s="34"/>
      <c r="N36" s="34"/>
      <c r="O36" s="51" t="e">
        <f t="shared" si="2"/>
        <v>#DIV/0!</v>
      </c>
      <c r="P36" s="28"/>
      <c r="Q36" s="29"/>
      <c r="R36" s="29"/>
      <c r="S36" s="34"/>
      <c r="T36" s="34"/>
      <c r="U36" s="52" t="e">
        <f t="shared" si="3"/>
        <v>#DIV/0!</v>
      </c>
      <c r="V36" s="34"/>
      <c r="W36" s="34"/>
      <c r="X36" s="34"/>
      <c r="Y36" s="34"/>
      <c r="Z36" s="34"/>
      <c r="AA36" s="51" t="e">
        <f t="shared" si="4"/>
        <v>#DIV/0!</v>
      </c>
      <c r="AB36" s="36"/>
      <c r="AC36" s="37"/>
      <c r="AD36" s="34"/>
      <c r="AE36" s="34"/>
      <c r="AF36" s="34"/>
      <c r="AG36" s="63" t="e">
        <f t="shared" si="5"/>
        <v>#DIV/0!</v>
      </c>
    </row>
    <row r="38" spans="2:33" ht="13" thickBot="1">
      <c r="B38" t="s">
        <v>23</v>
      </c>
    </row>
    <row r="39" spans="2:33" ht="15.5">
      <c r="B39" t="s">
        <v>24</v>
      </c>
      <c r="J39" s="4" t="s">
        <v>5</v>
      </c>
      <c r="K39" s="5"/>
      <c r="L39" s="5"/>
      <c r="M39" s="5"/>
      <c r="N39" s="5"/>
      <c r="O39" s="5"/>
      <c r="P39" s="5"/>
      <c r="Q39" s="5"/>
      <c r="R39" s="5"/>
    </row>
    <row r="40" spans="2:33" ht="15.5">
      <c r="J40" s="6" t="s">
        <v>6</v>
      </c>
      <c r="K40" s="7"/>
      <c r="L40" s="7"/>
      <c r="M40" s="7"/>
      <c r="N40" s="7"/>
      <c r="O40" s="7"/>
      <c r="P40" s="7"/>
      <c r="Q40" s="7"/>
      <c r="R40" s="8" t="s">
        <v>7</v>
      </c>
    </row>
    <row r="41" spans="2:33" ht="16" thickBot="1">
      <c r="J41" s="9" t="s">
        <v>8</v>
      </c>
      <c r="K41" s="10"/>
      <c r="L41" s="10"/>
      <c r="M41" s="10"/>
      <c r="N41" s="10"/>
      <c r="O41" s="10"/>
      <c r="P41" s="11"/>
      <c r="Q41" s="10"/>
      <c r="R41" s="10"/>
    </row>
    <row r="42" spans="2:33">
      <c r="B42" s="27" t="s">
        <v>25</v>
      </c>
    </row>
  </sheetData>
  <mergeCells count="12">
    <mergeCell ref="B1:AG1"/>
    <mergeCell ref="B2:AG2"/>
    <mergeCell ref="D6:I6"/>
    <mergeCell ref="J6:O6"/>
    <mergeCell ref="P6:U6"/>
    <mergeCell ref="V6:AA6"/>
    <mergeCell ref="J7:O7"/>
    <mergeCell ref="V7:AA7"/>
    <mergeCell ref="P7:U7"/>
    <mergeCell ref="D7:I7"/>
    <mergeCell ref="AB6:AG6"/>
    <mergeCell ref="AB7:AG7"/>
  </mergeCells>
  <phoneticPr fontId="0" type="noConversion"/>
  <pageMargins left="0.3" right="0.25" top="0.25" bottom="0.25" header="0.62" footer="0.5"/>
  <pageSetup paperSize="5" orientation="portrait" horizontalDpi="4294967294"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42"/>
  <sheetViews>
    <sheetView tabSelected="1" topLeftCell="B6" zoomScaleNormal="100" workbookViewId="0">
      <pane xSplit="2" ySplit="2" topLeftCell="S11" activePane="bottomRight" state="frozen"/>
      <selection activeCell="B6" sqref="B6"/>
      <selection pane="topRight" activeCell="D6" sqref="D6"/>
      <selection pane="bottomLeft" activeCell="B8" sqref="B8"/>
      <selection pane="bottomRight" activeCell="U14" sqref="U14"/>
    </sheetView>
  </sheetViews>
  <sheetFormatPr defaultRowHeight="12.5"/>
  <cols>
    <col min="2" max="2" width="3.81640625" customWidth="1"/>
    <col min="3" max="3" width="29.81640625" customWidth="1"/>
    <col min="4" max="4" width="7.26953125" customWidth="1"/>
    <col min="5" max="5" width="7.1796875" customWidth="1"/>
    <col min="6" max="6" width="7.26953125" customWidth="1"/>
    <col min="7" max="7" width="8.54296875" customWidth="1"/>
    <col min="8" max="8" width="6.90625" customWidth="1"/>
    <col min="9" max="9" width="7.1796875" customWidth="1"/>
    <col min="10" max="10" width="6.1796875" customWidth="1"/>
    <col min="11" max="11" width="6.54296875" customWidth="1"/>
    <col min="12" max="12" width="6.26953125" customWidth="1"/>
    <col min="13" max="13" width="6.6328125" customWidth="1"/>
    <col min="14" max="14" width="6.7265625" customWidth="1"/>
    <col min="15" max="15" width="6.453125" customWidth="1"/>
    <col min="16" max="16" width="7.26953125" customWidth="1"/>
    <col min="17" max="17" width="6.90625" customWidth="1"/>
    <col min="18" max="18" width="6.26953125" customWidth="1"/>
    <col min="19" max="19" width="6.36328125" customWidth="1"/>
    <col min="20" max="20" width="7.54296875" customWidth="1"/>
    <col min="21" max="21" width="12" customWidth="1"/>
    <col min="22" max="22" width="12.54296875" customWidth="1"/>
    <col min="23" max="88" width="3.7265625" customWidth="1"/>
  </cols>
  <sheetData>
    <row r="1" spans="2:22" ht="18">
      <c r="B1" s="172" t="s">
        <v>26</v>
      </c>
      <c r="C1" s="172"/>
      <c r="D1" s="172"/>
      <c r="E1" s="172"/>
      <c r="F1" s="172"/>
      <c r="G1" s="172"/>
      <c r="H1" s="172"/>
      <c r="I1" s="172"/>
      <c r="J1" s="172"/>
      <c r="K1" s="172"/>
      <c r="L1" s="172"/>
      <c r="M1" s="172"/>
      <c r="N1" s="172"/>
      <c r="O1" s="172"/>
      <c r="P1" s="172"/>
      <c r="Q1" s="172"/>
      <c r="R1" s="56"/>
      <c r="S1" s="93"/>
      <c r="T1" s="93"/>
    </row>
    <row r="2" spans="2:22" ht="18">
      <c r="B2" s="172" t="s">
        <v>44</v>
      </c>
      <c r="C2" s="172"/>
      <c r="D2" s="172"/>
      <c r="E2" s="172"/>
      <c r="F2" s="172"/>
      <c r="G2" s="172"/>
      <c r="H2" s="172"/>
      <c r="I2" s="172"/>
      <c r="J2" s="172"/>
      <c r="K2" s="172"/>
      <c r="L2" s="172"/>
      <c r="M2" s="172"/>
      <c r="N2" s="172"/>
      <c r="O2" s="172"/>
      <c r="P2" s="172"/>
      <c r="Q2" s="172"/>
      <c r="R2" s="56"/>
      <c r="S2" s="93"/>
      <c r="T2" s="93"/>
    </row>
    <row r="3" spans="2:22" ht="17.5">
      <c r="C3" s="1" t="s">
        <v>28</v>
      </c>
    </row>
    <row r="4" spans="2:22" ht="17.5">
      <c r="C4" s="1" t="s">
        <v>3</v>
      </c>
      <c r="D4" s="1" t="s">
        <v>64</v>
      </c>
    </row>
    <row r="5" spans="2:22" ht="18" thickBot="1">
      <c r="C5" s="1" t="s">
        <v>65</v>
      </c>
    </row>
    <row r="6" spans="2:22" ht="16.5" thickTop="1" thickBot="1">
      <c r="B6" s="60" t="s">
        <v>1</v>
      </c>
      <c r="C6" s="58" t="s">
        <v>2</v>
      </c>
      <c r="D6" s="184" t="s">
        <v>29</v>
      </c>
      <c r="E6" s="185"/>
      <c r="F6" s="195"/>
      <c r="G6" s="186" t="s">
        <v>32</v>
      </c>
      <c r="H6" s="187"/>
      <c r="I6" s="194"/>
      <c r="J6" s="186" t="s">
        <v>33</v>
      </c>
      <c r="K6" s="187"/>
      <c r="L6" s="194"/>
      <c r="M6" s="180" t="s">
        <v>35</v>
      </c>
      <c r="N6" s="181"/>
      <c r="O6" s="182"/>
      <c r="P6" s="180" t="s">
        <v>37</v>
      </c>
      <c r="Q6" s="181"/>
      <c r="R6" s="181"/>
      <c r="S6" s="188" t="s">
        <v>62</v>
      </c>
      <c r="T6" s="189"/>
      <c r="U6" s="192" t="s">
        <v>39</v>
      </c>
      <c r="V6" s="193"/>
    </row>
    <row r="7" spans="2:22" ht="95.25" customHeight="1" thickBot="1">
      <c r="B7" s="61"/>
      <c r="C7" s="59"/>
      <c r="D7" s="178" t="s">
        <v>30</v>
      </c>
      <c r="E7" s="179"/>
      <c r="F7" s="196"/>
      <c r="G7" s="176" t="s">
        <v>31</v>
      </c>
      <c r="H7" s="177"/>
      <c r="I7" s="183"/>
      <c r="J7" s="176" t="s">
        <v>34</v>
      </c>
      <c r="K7" s="177"/>
      <c r="L7" s="183"/>
      <c r="M7" s="176" t="s">
        <v>36</v>
      </c>
      <c r="N7" s="177"/>
      <c r="O7" s="183"/>
      <c r="P7" s="176" t="s">
        <v>38</v>
      </c>
      <c r="Q7" s="177"/>
      <c r="R7" s="177"/>
      <c r="S7" s="190"/>
      <c r="T7" s="191"/>
      <c r="U7" s="79" t="s">
        <v>40</v>
      </c>
      <c r="V7" s="80" t="s">
        <v>41</v>
      </c>
    </row>
    <row r="8" spans="2:22" ht="15.5">
      <c r="B8" s="30">
        <v>1</v>
      </c>
      <c r="C8" s="54" t="str">
        <f>'DAFNIL NAM'!C8</f>
        <v>Archie Manuel Ferbianto</v>
      </c>
      <c r="D8" s="66">
        <f>'DAFNIL NAM'!I8</f>
        <v>4</v>
      </c>
      <c r="E8" s="39">
        <f>D8/5*100</f>
        <v>80</v>
      </c>
      <c r="F8" s="138" t="str">
        <f>IF(E8&gt;85,"BSB",IF(E8&gt;74.09,"BSH",IF(E8&gt;64.09,"MB",IF(E8&gt;=40,"BB","  "))))</f>
        <v>BSH</v>
      </c>
      <c r="G8" s="70">
        <f>'DAFNIL NAM'!O8</f>
        <v>3.6</v>
      </c>
      <c r="H8" s="65">
        <f>G8/5*100</f>
        <v>72</v>
      </c>
      <c r="I8" s="128" t="str">
        <f>IF(H8&gt;85,"BSB",IF(H8&gt;74.09,"BSH",IF(H8&gt;64.09,"MB",IF(H8&gt;=40,"BB","  "))))</f>
        <v>MB</v>
      </c>
      <c r="J8" s="70">
        <f>'DAFNIL NAM'!U8</f>
        <v>4</v>
      </c>
      <c r="K8" s="41">
        <f>J8/5*100</f>
        <v>80</v>
      </c>
      <c r="L8" s="165" t="str">
        <f>IF(K8&gt;85,"BSB",IF(K8&gt;74.09,"BSH",IF(K8&gt;64.09,"MB",IF(K8&gt;=40,"BB","  "))))</f>
        <v>BSH</v>
      </c>
      <c r="M8" s="73">
        <f>'DAFNIL NAM'!AA8</f>
        <v>3.9</v>
      </c>
      <c r="N8" s="41">
        <f>M8/5*100</f>
        <v>78</v>
      </c>
      <c r="O8" s="169" t="str">
        <f>IF(N8&gt;85,"BSB",IF(N8&gt;74.09,"BSH",IF(N8&gt;64.09,"MB",IF(N8&gt;=40,"BB","  "))))</f>
        <v>BSH</v>
      </c>
      <c r="P8" s="70">
        <f>'DAFNIL NAM'!AG8</f>
        <v>3.5</v>
      </c>
      <c r="Q8" s="62">
        <f>P8/5*100</f>
        <v>70</v>
      </c>
      <c r="R8" s="64" t="str">
        <f>IF(Q8&gt;85,"BSB",IF(Q8&gt;74.09,"BSH",IF(Q8&gt;64.09,"MB",IF(Q8&gt;=40,"BB","  "))))</f>
        <v>MB</v>
      </c>
      <c r="S8" s="95">
        <f>(E8+H8+K8+N8+Q8)/5</f>
        <v>76</v>
      </c>
      <c r="T8" s="171" t="str">
        <f>IF(S8&gt;85,"BSB",IF(S8&gt;74.09,"BSH",IF(S8&gt;64.09,"MB",IF(S8&gt;=40,"BB","  "))))</f>
        <v>BSH</v>
      </c>
      <c r="U8" s="155" t="s">
        <v>84</v>
      </c>
      <c r="V8" s="124" t="s">
        <v>85</v>
      </c>
    </row>
    <row r="9" spans="2:22" ht="15.5">
      <c r="B9" s="31">
        <f>B8+1</f>
        <v>2</v>
      </c>
      <c r="C9" s="54" t="str">
        <f>'DAFNIL NAM'!C9</f>
        <v>Carissa Ilona Thionne</v>
      </c>
      <c r="D9" s="67">
        <f>'DAFNIL NAM'!I9</f>
        <v>4.9000000000000004</v>
      </c>
      <c r="E9" s="40">
        <f>D9/5*100</f>
        <v>98.000000000000014</v>
      </c>
      <c r="F9" s="161" t="str">
        <f t="shared" ref="F9:F21" si="0">IF(E9&gt;85,"BSB",IF(E9&gt;74.09,"BSH",IF(E9&gt;64.09,"MB",IF(E9&gt;=40,"BB","  "))))</f>
        <v>BSB</v>
      </c>
      <c r="G9" s="71">
        <f>'DAFNIL NAM'!O9</f>
        <v>3.8</v>
      </c>
      <c r="H9" s="52">
        <f>G9/5*100</f>
        <v>76</v>
      </c>
      <c r="I9" s="69" t="str">
        <f t="shared" ref="I9:I21" si="1">IF(H9&gt;85,"BSB",IF(H9&gt;74.09,"BSH",IF(H9&gt;64.09,"MB",IF(H9&gt;=40,"BB","  "))))</f>
        <v>BSH</v>
      </c>
      <c r="J9" s="71">
        <f>'DAFNIL NAM'!U9</f>
        <v>3.8</v>
      </c>
      <c r="K9" s="52">
        <f>J9/5*100</f>
        <v>76</v>
      </c>
      <c r="L9" s="166" t="str">
        <f t="shared" ref="L9:L21" si="2">IF(K9&gt;85,"BSB",IF(K9&gt;74.09,"BSH",IF(K9&gt;64.09,"MB",IF(K9&gt;=40,"BB","  "))))</f>
        <v>BSH</v>
      </c>
      <c r="M9" s="130">
        <f>'DAFNIL NAM'!AA9</f>
        <v>4</v>
      </c>
      <c r="N9" s="140">
        <f>M9/5*100</f>
        <v>80</v>
      </c>
      <c r="O9" s="129" t="str">
        <f t="shared" ref="O9:O21" si="3">IF(N9&gt;85,"BSB",IF(N9&gt;74.09,"BSH",IF(N9&gt;64.09,"MB",IF(N9&gt;=40,"BB","  "))))</f>
        <v>BSH</v>
      </c>
      <c r="P9" s="131">
        <f>'DAFNIL NAM'!AG9</f>
        <v>4</v>
      </c>
      <c r="Q9" s="132">
        <f>P9/5*100</f>
        <v>80</v>
      </c>
      <c r="R9" s="129" t="str">
        <f t="shared" ref="R9:R21" si="4">IF(Q9&gt;85,"BSB",IF(Q9&gt;74.09,"BSH",IF(Q9&gt;64.09,"MB",IF(Q9&gt;=40,"BB","  "))))</f>
        <v>BSH</v>
      </c>
      <c r="S9" s="133">
        <f>(E9+H9+K9+N9+Q9)/5</f>
        <v>82</v>
      </c>
      <c r="T9" s="134" t="str">
        <f t="shared" ref="T9:T21" si="5">IF(S9&gt;85,"BSB",IF(S9&gt;74.09,"BSH",IF(S9&gt;64.09,"MB",IF(S9&gt;=40,"BB","  "))))</f>
        <v>BSH</v>
      </c>
      <c r="U9" s="157" t="s">
        <v>86</v>
      </c>
      <c r="V9" s="124"/>
    </row>
    <row r="10" spans="2:22" ht="15.5">
      <c r="B10" s="31">
        <f t="shared" ref="B10:B36" si="6">B9+1</f>
        <v>3</v>
      </c>
      <c r="C10" s="54" t="str">
        <f>'DAFNIL NAM'!C10</f>
        <v>Dionysius Alexander Manurung</v>
      </c>
      <c r="D10" s="67">
        <f>'DAFNIL NAM'!I10</f>
        <v>4</v>
      </c>
      <c r="E10" s="40">
        <f>D10/5*100</f>
        <v>80</v>
      </c>
      <c r="F10" s="162" t="str">
        <f t="shared" si="0"/>
        <v>BSH</v>
      </c>
      <c r="G10" s="71">
        <f>'DAFNIL NAM'!O10</f>
        <v>3.3333333333333335</v>
      </c>
      <c r="H10" s="52">
        <f t="shared" ref="H10:H21" si="7">G10/5*100</f>
        <v>66.666666666666671</v>
      </c>
      <c r="I10" s="167" t="str">
        <f t="shared" si="1"/>
        <v>MB</v>
      </c>
      <c r="J10" s="71">
        <f>'DAFNIL NAM'!U10</f>
        <v>3.5</v>
      </c>
      <c r="K10" s="52">
        <f t="shared" ref="K10:K21" si="8">J10/5*100</f>
        <v>70</v>
      </c>
      <c r="L10" s="129" t="str">
        <f t="shared" si="2"/>
        <v>MB</v>
      </c>
      <c r="M10" s="130">
        <f>'DAFNIL NAM'!AA10</f>
        <v>3.5</v>
      </c>
      <c r="N10" s="140">
        <f t="shared" ref="N10:N21" si="9">M10/5*100</f>
        <v>70</v>
      </c>
      <c r="O10" s="166" t="str">
        <f t="shared" si="3"/>
        <v>MB</v>
      </c>
      <c r="P10" s="131">
        <f>'DAFNIL NAM'!AG10</f>
        <v>3.8</v>
      </c>
      <c r="Q10" s="132">
        <f t="shared" ref="Q10:Q21" si="10">P10/5*100</f>
        <v>76</v>
      </c>
      <c r="R10" s="129" t="str">
        <f t="shared" si="4"/>
        <v>BSH</v>
      </c>
      <c r="S10" s="133">
        <f t="shared" ref="S10:S21" si="11">(E10+H10+K10+N10+Q10)/5</f>
        <v>72.533333333333331</v>
      </c>
      <c r="T10" s="134" t="str">
        <f t="shared" si="5"/>
        <v>MB</v>
      </c>
      <c r="U10" s="157" t="s">
        <v>87</v>
      </c>
      <c r="V10" s="124" t="s">
        <v>88</v>
      </c>
    </row>
    <row r="11" spans="2:22" ht="15.5">
      <c r="B11" s="31">
        <f t="shared" si="6"/>
        <v>4</v>
      </c>
      <c r="C11" s="54" t="str">
        <f>'DAFNIL NAM'!C11</f>
        <v>Ethan Anka Wijaya</v>
      </c>
      <c r="D11" s="67">
        <f>'DAFNIL NAM'!I11</f>
        <v>3.8</v>
      </c>
      <c r="E11" s="40">
        <f t="shared" ref="E11:E21" si="12">D11/5*100</f>
        <v>76</v>
      </c>
      <c r="F11" s="139" t="str">
        <f t="shared" si="0"/>
        <v>BSH</v>
      </c>
      <c r="G11" s="71">
        <f>'DAFNIL NAM'!O11</f>
        <v>3.4333333333333336</v>
      </c>
      <c r="H11" s="52">
        <f t="shared" si="7"/>
        <v>68.666666666666671</v>
      </c>
      <c r="I11" s="69" t="str">
        <f t="shared" si="1"/>
        <v>MB</v>
      </c>
      <c r="J11" s="71">
        <f>'DAFNIL NAM'!U11</f>
        <v>4</v>
      </c>
      <c r="K11" s="52">
        <f t="shared" si="8"/>
        <v>80</v>
      </c>
      <c r="L11" s="163" t="str">
        <f t="shared" si="2"/>
        <v>BSH</v>
      </c>
      <c r="M11" s="130">
        <f>'DAFNIL NAM'!AA11</f>
        <v>3.7</v>
      </c>
      <c r="N11" s="140">
        <f t="shared" si="9"/>
        <v>74</v>
      </c>
      <c r="O11" s="166" t="str">
        <f t="shared" si="3"/>
        <v>MB</v>
      </c>
      <c r="P11" s="131">
        <f>'DAFNIL NAM'!AG11</f>
        <v>3.65</v>
      </c>
      <c r="Q11" s="132">
        <f t="shared" si="10"/>
        <v>73</v>
      </c>
      <c r="R11" s="163" t="str">
        <f t="shared" si="4"/>
        <v>MB</v>
      </c>
      <c r="S11" s="133">
        <f t="shared" si="11"/>
        <v>74.333333333333343</v>
      </c>
      <c r="T11" s="134" t="str">
        <f t="shared" si="5"/>
        <v>BSH</v>
      </c>
      <c r="U11" s="157" t="s">
        <v>89</v>
      </c>
      <c r="V11" s="124" t="s">
        <v>88</v>
      </c>
    </row>
    <row r="12" spans="2:22" ht="15.5">
      <c r="B12" s="31">
        <f t="shared" si="6"/>
        <v>5</v>
      </c>
      <c r="C12" s="54" t="str">
        <f>'DAFNIL NAM'!C12</f>
        <v>Gregory Dresetutus Bangun</v>
      </c>
      <c r="D12" s="67">
        <f>'DAFNIL NAM'!I12</f>
        <v>4.5</v>
      </c>
      <c r="E12" s="40">
        <f t="shared" si="12"/>
        <v>90</v>
      </c>
      <c r="F12" s="162" t="str">
        <f t="shared" si="0"/>
        <v>BSB</v>
      </c>
      <c r="G12" s="71">
        <f>'DAFNIL NAM'!O12</f>
        <v>3.75</v>
      </c>
      <c r="H12" s="52">
        <f t="shared" si="7"/>
        <v>75</v>
      </c>
      <c r="I12" s="69" t="str">
        <f t="shared" si="1"/>
        <v>BSH</v>
      </c>
      <c r="J12" s="71">
        <f>'DAFNIL NAM'!U12</f>
        <v>4</v>
      </c>
      <c r="K12" s="52">
        <f t="shared" si="8"/>
        <v>80</v>
      </c>
      <c r="L12" s="166" t="str">
        <f t="shared" si="2"/>
        <v>BSH</v>
      </c>
      <c r="M12" s="130">
        <f>'DAFNIL NAM'!AA12</f>
        <v>3.8</v>
      </c>
      <c r="N12" s="140">
        <f t="shared" si="9"/>
        <v>76</v>
      </c>
      <c r="O12" s="129" t="str">
        <f t="shared" si="3"/>
        <v>BSH</v>
      </c>
      <c r="P12" s="131">
        <f>'DAFNIL NAM'!AG12</f>
        <v>3.75</v>
      </c>
      <c r="Q12" s="132">
        <f t="shared" si="10"/>
        <v>75</v>
      </c>
      <c r="R12" s="129" t="str">
        <f t="shared" si="4"/>
        <v>BSH</v>
      </c>
      <c r="S12" s="133">
        <f t="shared" si="11"/>
        <v>79.2</v>
      </c>
      <c r="T12" s="134" t="str">
        <f t="shared" si="5"/>
        <v>BSH</v>
      </c>
      <c r="U12" s="157" t="s">
        <v>90</v>
      </c>
      <c r="V12" s="124"/>
    </row>
    <row r="13" spans="2:22" ht="15.5">
      <c r="B13" s="31">
        <f t="shared" si="6"/>
        <v>6</v>
      </c>
      <c r="C13" s="54" t="str">
        <f>'DAFNIL NAM'!C13</f>
        <v>Louisa Kinara Putri</v>
      </c>
      <c r="D13" s="67">
        <f>'DAFNIL NAM'!I13</f>
        <v>5</v>
      </c>
      <c r="E13" s="40">
        <f t="shared" si="12"/>
        <v>100</v>
      </c>
      <c r="F13" s="162" t="str">
        <f t="shared" si="0"/>
        <v>BSB</v>
      </c>
      <c r="G13" s="71">
        <f>'DAFNIL NAM'!O13</f>
        <v>3.5</v>
      </c>
      <c r="H13" s="52">
        <f t="shared" si="7"/>
        <v>70</v>
      </c>
      <c r="I13" s="164" t="str">
        <f t="shared" si="1"/>
        <v>MB</v>
      </c>
      <c r="J13" s="71">
        <f>'DAFNIL NAM'!U13</f>
        <v>3.5</v>
      </c>
      <c r="K13" s="52">
        <f t="shared" si="8"/>
        <v>70</v>
      </c>
      <c r="L13" s="166" t="str">
        <f t="shared" si="2"/>
        <v>MB</v>
      </c>
      <c r="M13" s="130">
        <f>'DAFNIL NAM'!AA13</f>
        <v>4.5</v>
      </c>
      <c r="N13" s="140">
        <f t="shared" si="9"/>
        <v>90</v>
      </c>
      <c r="O13" s="163" t="str">
        <f t="shared" si="3"/>
        <v>BSB</v>
      </c>
      <c r="P13" s="131">
        <f>'DAFNIL NAM'!AG13</f>
        <v>4</v>
      </c>
      <c r="Q13" s="132">
        <f t="shared" si="10"/>
        <v>80</v>
      </c>
      <c r="R13" s="129" t="str">
        <f t="shared" si="4"/>
        <v>BSH</v>
      </c>
      <c r="S13" s="133">
        <f t="shared" si="11"/>
        <v>82</v>
      </c>
      <c r="T13" s="134" t="str">
        <f t="shared" si="5"/>
        <v>BSH</v>
      </c>
      <c r="U13" s="157" t="s">
        <v>101</v>
      </c>
      <c r="V13" s="124" t="s">
        <v>91</v>
      </c>
    </row>
    <row r="14" spans="2:22" ht="15.5">
      <c r="B14" s="31">
        <f t="shared" si="6"/>
        <v>7</v>
      </c>
      <c r="C14" s="54" t="str">
        <f>'DAFNIL NAM'!C14</f>
        <v>Nathania Anjani Hutagaol</v>
      </c>
      <c r="D14" s="67">
        <f>'DAFNIL NAM'!I14</f>
        <v>5</v>
      </c>
      <c r="E14" s="40">
        <f t="shared" si="12"/>
        <v>100</v>
      </c>
      <c r="F14" s="139" t="str">
        <f t="shared" si="0"/>
        <v>BSB</v>
      </c>
      <c r="G14" s="71">
        <f>'DAFNIL NAM'!O14</f>
        <v>3.7666666666666671</v>
      </c>
      <c r="H14" s="52">
        <f t="shared" si="7"/>
        <v>75.333333333333343</v>
      </c>
      <c r="I14" s="164" t="str">
        <f t="shared" si="1"/>
        <v>BSH</v>
      </c>
      <c r="J14" s="71">
        <f>'DAFNIL NAM'!U14</f>
        <v>3.8</v>
      </c>
      <c r="K14" s="52">
        <f t="shared" si="8"/>
        <v>76</v>
      </c>
      <c r="L14" s="163" t="str">
        <f t="shared" si="2"/>
        <v>BSH</v>
      </c>
      <c r="M14" s="130">
        <f>'DAFNIL NAM'!AA14</f>
        <v>4.5</v>
      </c>
      <c r="N14" s="140">
        <f t="shared" si="9"/>
        <v>90</v>
      </c>
      <c r="O14" s="129" t="str">
        <f t="shared" si="3"/>
        <v>BSB</v>
      </c>
      <c r="P14" s="131">
        <f>'DAFNIL NAM'!AG14</f>
        <v>4</v>
      </c>
      <c r="Q14" s="132">
        <f t="shared" si="10"/>
        <v>80</v>
      </c>
      <c r="R14" s="129" t="str">
        <f t="shared" si="4"/>
        <v>BSH</v>
      </c>
      <c r="S14" s="133">
        <f t="shared" si="11"/>
        <v>84.26666666666668</v>
      </c>
      <c r="T14" s="134" t="str">
        <f t="shared" si="5"/>
        <v>BSH</v>
      </c>
      <c r="U14" s="157" t="s">
        <v>92</v>
      </c>
      <c r="V14" s="124"/>
    </row>
    <row r="15" spans="2:22" ht="15.5">
      <c r="B15" s="31">
        <f t="shared" si="6"/>
        <v>8</v>
      </c>
      <c r="C15" s="54" t="str">
        <f>'DAFNIL NAM'!C15</f>
        <v>Nathaniel Axelio</v>
      </c>
      <c r="D15" s="67">
        <f>'DAFNIL NAM'!I15</f>
        <v>4.75</v>
      </c>
      <c r="E15" s="40">
        <f>D15/5*100</f>
        <v>95</v>
      </c>
      <c r="F15" s="162" t="str">
        <f>IF(E15&gt;85,"BSB",IF(E15&gt;74.09,"BSH",IF(E15&gt;64.09,"MB",IF(E15&gt;=40,"BB","  "))))</f>
        <v>BSB</v>
      </c>
      <c r="G15" s="71">
        <f>'DAFNIL NAM'!O15</f>
        <v>3.7333333333333329</v>
      </c>
      <c r="H15" s="52">
        <f>G15/5*100</f>
        <v>74.666666666666657</v>
      </c>
      <c r="I15" s="164" t="str">
        <f>IF(H15&gt;85,"BSB",IF(H15&gt;74.09,"BSH",IF(H15&gt;64.09,"MB",IF(H15&gt;=40,"BB","  "))))</f>
        <v>BSH</v>
      </c>
      <c r="J15" s="71">
        <f>'DAFNIL NAM'!U15</f>
        <v>4</v>
      </c>
      <c r="K15" s="52">
        <f>J15/5*100</f>
        <v>80</v>
      </c>
      <c r="L15" s="129" t="str">
        <f>IF(K15&gt;85,"BSB",IF(K15&gt;74.09,"BSH",IF(K15&gt;64.09,"MB",IF(K15&gt;=40,"BB","  "))))</f>
        <v>BSH</v>
      </c>
      <c r="M15" s="130">
        <f>'DAFNIL NAM'!AA15</f>
        <v>4</v>
      </c>
      <c r="N15" s="140">
        <f>M15/5*100</f>
        <v>80</v>
      </c>
      <c r="O15" s="129" t="str">
        <f>IF(N15&gt;85,"BSB",IF(N15&gt;74.09,"BSH",IF(N15&gt;64.09,"MB",IF(N15&gt;=40,"BB","  "))))</f>
        <v>BSH</v>
      </c>
      <c r="P15" s="131">
        <f>'DAFNIL NAM'!AG15</f>
        <v>3.8333333333333335</v>
      </c>
      <c r="Q15" s="132">
        <f>P15/5*100</f>
        <v>76.666666666666671</v>
      </c>
      <c r="R15" s="166" t="str">
        <f>IF(Q15&gt;85,"BSB",IF(Q15&gt;74.09,"BSH",IF(Q15&gt;64.09,"MB",IF(Q15&gt;=40,"BB","  "))))</f>
        <v>BSH</v>
      </c>
      <c r="S15" s="133">
        <f>(E15+H15+K15+N15+Q15)/5</f>
        <v>81.266666666666666</v>
      </c>
      <c r="T15" s="134" t="str">
        <f>IF(S15&gt;85,"BSB",IF(S15&gt;74.09,"BSH",IF(S15&gt;64.09,"MB",IF(S15&gt;=40,"BB","  "))))</f>
        <v>BSH</v>
      </c>
      <c r="U15" s="157" t="s">
        <v>93</v>
      </c>
      <c r="V15" s="124"/>
    </row>
    <row r="16" spans="2:22" ht="15.5">
      <c r="B16" s="31">
        <f t="shared" si="6"/>
        <v>9</v>
      </c>
      <c r="C16" s="54" t="str">
        <f>'DAFNIL NAM'!C16</f>
        <v>Oktaviany Hambali Putri</v>
      </c>
      <c r="D16" s="67">
        <f>'DAFNIL NAM'!I16</f>
        <v>4</v>
      </c>
      <c r="E16" s="40">
        <f t="shared" si="12"/>
        <v>80</v>
      </c>
      <c r="F16" s="139" t="str">
        <f t="shared" si="0"/>
        <v>BSH</v>
      </c>
      <c r="G16" s="71">
        <f>'DAFNIL NAM'!O16</f>
        <v>3.3333333333333335</v>
      </c>
      <c r="H16" s="52">
        <f t="shared" si="7"/>
        <v>66.666666666666671</v>
      </c>
      <c r="I16" s="164" t="str">
        <f t="shared" si="1"/>
        <v>MB</v>
      </c>
      <c r="J16" s="71">
        <f>'DAFNIL NAM'!U16</f>
        <v>3.5</v>
      </c>
      <c r="K16" s="52">
        <f t="shared" si="8"/>
        <v>70</v>
      </c>
      <c r="L16" s="129" t="str">
        <f t="shared" si="2"/>
        <v>MB</v>
      </c>
      <c r="M16" s="130">
        <f>'DAFNIL NAM'!AA16</f>
        <v>3.5</v>
      </c>
      <c r="N16" s="140">
        <f t="shared" si="9"/>
        <v>70</v>
      </c>
      <c r="O16" s="166" t="str">
        <f t="shared" si="3"/>
        <v>MB</v>
      </c>
      <c r="P16" s="131">
        <f>'DAFNIL NAM'!AG16</f>
        <v>3.5</v>
      </c>
      <c r="Q16" s="132">
        <f t="shared" si="10"/>
        <v>70</v>
      </c>
      <c r="R16" s="129" t="str">
        <f t="shared" si="4"/>
        <v>MB</v>
      </c>
      <c r="S16" s="133">
        <f t="shared" si="11"/>
        <v>71.333333333333343</v>
      </c>
      <c r="T16" s="134" t="str">
        <f t="shared" si="5"/>
        <v>MB</v>
      </c>
      <c r="U16" s="157" t="s">
        <v>94</v>
      </c>
      <c r="V16" s="124" t="s">
        <v>88</v>
      </c>
    </row>
    <row r="17" spans="2:22" ht="15.5">
      <c r="B17" s="31">
        <f t="shared" si="6"/>
        <v>10</v>
      </c>
      <c r="C17" s="54" t="str">
        <f>'DAFNIL NAM'!C17</f>
        <v>Pelangi Belia Anugerah Siahaan</v>
      </c>
      <c r="D17" s="67">
        <f>'DAFNIL NAM'!I17</f>
        <v>3.5</v>
      </c>
      <c r="E17" s="40">
        <f t="shared" si="12"/>
        <v>70</v>
      </c>
      <c r="F17" s="168" t="str">
        <f t="shared" si="0"/>
        <v>MB</v>
      </c>
      <c r="G17" s="71">
        <f>'DAFNIL NAM'!O17</f>
        <v>3.5</v>
      </c>
      <c r="H17" s="52">
        <f t="shared" si="7"/>
        <v>70</v>
      </c>
      <c r="I17" s="69" t="str">
        <f t="shared" si="1"/>
        <v>MB</v>
      </c>
      <c r="J17" s="71">
        <f>'DAFNIL NAM'!U17</f>
        <v>4</v>
      </c>
      <c r="K17" s="52">
        <f t="shared" si="8"/>
        <v>80</v>
      </c>
      <c r="L17" s="129" t="str">
        <f t="shared" si="2"/>
        <v>BSH</v>
      </c>
      <c r="M17" s="130">
        <f>'DAFNIL NAM'!AA17</f>
        <v>3.85</v>
      </c>
      <c r="N17" s="140">
        <f t="shared" si="9"/>
        <v>77</v>
      </c>
      <c r="O17" s="129" t="str">
        <f t="shared" si="3"/>
        <v>BSH</v>
      </c>
      <c r="P17" s="131">
        <f>'DAFNIL NAM'!AG17</f>
        <v>4</v>
      </c>
      <c r="Q17" s="132">
        <f t="shared" si="10"/>
        <v>80</v>
      </c>
      <c r="R17" s="163" t="str">
        <f t="shared" si="4"/>
        <v>BSH</v>
      </c>
      <c r="S17" s="133">
        <f t="shared" si="11"/>
        <v>75.400000000000006</v>
      </c>
      <c r="T17" s="134" t="str">
        <f t="shared" si="5"/>
        <v>BSH</v>
      </c>
      <c r="U17" s="157" t="s">
        <v>95</v>
      </c>
      <c r="V17" s="124" t="s">
        <v>96</v>
      </c>
    </row>
    <row r="18" spans="2:22" ht="15.5">
      <c r="B18" s="31">
        <f t="shared" si="6"/>
        <v>11</v>
      </c>
      <c r="C18" s="54" t="str">
        <f>'DAFNIL NAM'!C18</f>
        <v>Valencia Laura</v>
      </c>
      <c r="D18" s="67">
        <f>'DAFNIL NAM'!I18</f>
        <v>5</v>
      </c>
      <c r="E18" s="40">
        <f t="shared" si="12"/>
        <v>100</v>
      </c>
      <c r="F18" s="68" t="str">
        <f t="shared" si="0"/>
        <v>BSB</v>
      </c>
      <c r="G18" s="71">
        <f>'DAFNIL NAM'!O18</f>
        <v>3.5</v>
      </c>
      <c r="H18" s="52">
        <f t="shared" si="7"/>
        <v>70</v>
      </c>
      <c r="I18" s="170" t="str">
        <f t="shared" si="1"/>
        <v>MB</v>
      </c>
      <c r="J18" s="71">
        <f>'DAFNIL NAM'!U18</f>
        <v>3.5</v>
      </c>
      <c r="K18" s="52">
        <f t="shared" si="8"/>
        <v>70</v>
      </c>
      <c r="L18" s="166" t="str">
        <f t="shared" si="2"/>
        <v>MB</v>
      </c>
      <c r="M18" s="130">
        <f>'DAFNIL NAM'!AA18</f>
        <v>4.5</v>
      </c>
      <c r="N18" s="140">
        <f t="shared" si="9"/>
        <v>90</v>
      </c>
      <c r="O18" s="163" t="str">
        <f t="shared" si="3"/>
        <v>BSB</v>
      </c>
      <c r="P18" s="131">
        <f>'DAFNIL NAM'!AG18</f>
        <v>3.75</v>
      </c>
      <c r="Q18" s="132">
        <f t="shared" si="10"/>
        <v>75</v>
      </c>
      <c r="R18" s="129" t="str">
        <f t="shared" si="4"/>
        <v>BSH</v>
      </c>
      <c r="S18" s="133">
        <f t="shared" si="11"/>
        <v>81</v>
      </c>
      <c r="T18" s="134" t="str">
        <f t="shared" si="5"/>
        <v>BSH</v>
      </c>
      <c r="U18" s="157" t="s">
        <v>97</v>
      </c>
      <c r="V18" s="124" t="s">
        <v>98</v>
      </c>
    </row>
    <row r="19" spans="2:22" ht="16" thickBot="1">
      <c r="B19" s="31">
        <f t="shared" si="6"/>
        <v>12</v>
      </c>
      <c r="C19" s="54" t="str">
        <f>'DAFNIL NAM'!C19</f>
        <v>Yocelin Nathania Manalu</v>
      </c>
      <c r="D19" s="67">
        <f>'DAFNIL NAM'!I19</f>
        <v>4</v>
      </c>
      <c r="E19" s="40">
        <f t="shared" si="12"/>
        <v>80</v>
      </c>
      <c r="F19" s="168" t="str">
        <f t="shared" si="0"/>
        <v>BSH</v>
      </c>
      <c r="G19" s="71">
        <f>'DAFNIL NAM'!O19</f>
        <v>3.2666666666666671</v>
      </c>
      <c r="H19" s="52">
        <f t="shared" si="7"/>
        <v>65.333333333333343</v>
      </c>
      <c r="I19" s="164" t="str">
        <f t="shared" si="1"/>
        <v>MB</v>
      </c>
      <c r="J19" s="71">
        <f>'DAFNIL NAM'!U19</f>
        <v>3.8</v>
      </c>
      <c r="K19" s="52">
        <f t="shared" si="8"/>
        <v>76</v>
      </c>
      <c r="L19" s="129" t="str">
        <f t="shared" si="2"/>
        <v>BSH</v>
      </c>
      <c r="M19" s="130">
        <f>'DAFNIL NAM'!AA19</f>
        <v>3.8</v>
      </c>
      <c r="N19" s="140">
        <f t="shared" si="9"/>
        <v>76</v>
      </c>
      <c r="O19" s="166" t="str">
        <f t="shared" si="3"/>
        <v>BSH</v>
      </c>
      <c r="P19" s="131">
        <f>'DAFNIL NAM'!AG19</f>
        <v>4</v>
      </c>
      <c r="Q19" s="132">
        <f t="shared" si="10"/>
        <v>80</v>
      </c>
      <c r="R19" s="129" t="str">
        <f t="shared" si="4"/>
        <v>BSH</v>
      </c>
      <c r="S19" s="133">
        <f t="shared" si="11"/>
        <v>75.466666666666669</v>
      </c>
      <c r="T19" s="134" t="str">
        <f t="shared" si="5"/>
        <v>BSH</v>
      </c>
      <c r="U19" s="157" t="s">
        <v>99</v>
      </c>
      <c r="V19" s="124" t="s">
        <v>100</v>
      </c>
    </row>
    <row r="20" spans="2:22" ht="15.5">
      <c r="B20" s="31">
        <f t="shared" si="6"/>
        <v>13</v>
      </c>
      <c r="C20" s="54">
        <f>'DAFNIL NAM'!C20</f>
        <v>0</v>
      </c>
      <c r="D20" s="67" t="e">
        <f>'DAFNIL NAM'!I20</f>
        <v>#DIV/0!</v>
      </c>
      <c r="E20" s="40" t="e">
        <f t="shared" si="12"/>
        <v>#DIV/0!</v>
      </c>
      <c r="F20" s="68" t="e">
        <f t="shared" si="0"/>
        <v>#DIV/0!</v>
      </c>
      <c r="G20" s="71" t="e">
        <f>'DAFNIL NAM'!O20</f>
        <v>#DIV/0!</v>
      </c>
      <c r="H20" s="52" t="e">
        <f t="shared" si="7"/>
        <v>#DIV/0!</v>
      </c>
      <c r="I20" s="69" t="e">
        <f t="shared" si="1"/>
        <v>#DIV/0!</v>
      </c>
      <c r="J20" s="71" t="e">
        <f>'DAFNIL NAM'!U20</f>
        <v>#DIV/0!</v>
      </c>
      <c r="K20" s="52" t="e">
        <f t="shared" si="8"/>
        <v>#DIV/0!</v>
      </c>
      <c r="L20" s="129" t="e">
        <f t="shared" si="2"/>
        <v>#DIV/0!</v>
      </c>
      <c r="M20" s="130" t="e">
        <f>'DAFNIL NAM'!AA20</f>
        <v>#DIV/0!</v>
      </c>
      <c r="N20" s="140" t="e">
        <f t="shared" si="9"/>
        <v>#DIV/0!</v>
      </c>
      <c r="O20" s="129" t="e">
        <f t="shared" si="3"/>
        <v>#DIV/0!</v>
      </c>
      <c r="P20" s="131" t="e">
        <f>'DAFNIL NAM'!AG20</f>
        <v>#DIV/0!</v>
      </c>
      <c r="Q20" s="132" t="e">
        <f t="shared" si="10"/>
        <v>#DIV/0!</v>
      </c>
      <c r="R20" s="129" t="e">
        <f t="shared" si="4"/>
        <v>#DIV/0!</v>
      </c>
      <c r="S20" s="133" t="e">
        <f t="shared" si="11"/>
        <v>#DIV/0!</v>
      </c>
      <c r="T20" s="134" t="e">
        <f t="shared" si="5"/>
        <v>#DIV/0!</v>
      </c>
      <c r="U20" s="155" t="s">
        <v>69</v>
      </c>
      <c r="V20" s="124"/>
    </row>
    <row r="21" spans="2:22" ht="15.5">
      <c r="B21" s="31">
        <f t="shared" si="6"/>
        <v>14</v>
      </c>
      <c r="C21" s="54">
        <f>'DAFNIL NAM'!C21</f>
        <v>0</v>
      </c>
      <c r="D21" s="67" t="e">
        <f>'DAFNIL NAM'!I21</f>
        <v>#DIV/0!</v>
      </c>
      <c r="E21" s="40" t="e">
        <f t="shared" si="12"/>
        <v>#DIV/0!</v>
      </c>
      <c r="F21" s="68" t="e">
        <f t="shared" si="0"/>
        <v>#DIV/0!</v>
      </c>
      <c r="G21" s="71" t="e">
        <f>'DAFNIL NAM'!O21</f>
        <v>#DIV/0!</v>
      </c>
      <c r="H21" s="52" t="e">
        <f t="shared" si="7"/>
        <v>#DIV/0!</v>
      </c>
      <c r="I21" s="69" t="e">
        <f t="shared" si="1"/>
        <v>#DIV/0!</v>
      </c>
      <c r="J21" s="71" t="e">
        <f>'DAFNIL NAM'!U21</f>
        <v>#DIV/0!</v>
      </c>
      <c r="K21" s="52" t="e">
        <f t="shared" si="8"/>
        <v>#DIV/0!</v>
      </c>
      <c r="L21" s="129" t="e">
        <f t="shared" si="2"/>
        <v>#DIV/0!</v>
      </c>
      <c r="M21" s="130" t="e">
        <f>'DAFNIL NAM'!AA21</f>
        <v>#DIV/0!</v>
      </c>
      <c r="N21" s="140" t="e">
        <f t="shared" si="9"/>
        <v>#DIV/0!</v>
      </c>
      <c r="O21" s="129" t="e">
        <f t="shared" si="3"/>
        <v>#DIV/0!</v>
      </c>
      <c r="P21" s="131" t="e">
        <f>'DAFNIL NAM'!AG21</f>
        <v>#DIV/0!</v>
      </c>
      <c r="Q21" s="132" t="e">
        <f t="shared" si="10"/>
        <v>#DIV/0!</v>
      </c>
      <c r="R21" s="129" t="e">
        <f t="shared" si="4"/>
        <v>#DIV/0!</v>
      </c>
      <c r="S21" s="133" t="e">
        <f t="shared" si="11"/>
        <v>#DIV/0!</v>
      </c>
      <c r="T21" s="134" t="e">
        <f t="shared" si="5"/>
        <v>#DIV/0!</v>
      </c>
      <c r="U21" s="157" t="s">
        <v>70</v>
      </c>
      <c r="V21" s="124" t="s">
        <v>68</v>
      </c>
    </row>
    <row r="22" spans="2:22" ht="15.5">
      <c r="B22" s="31">
        <f t="shared" si="6"/>
        <v>15</v>
      </c>
      <c r="C22" s="54">
        <f>'DAFNIL NAM'!C22</f>
        <v>0</v>
      </c>
      <c r="D22" s="67"/>
      <c r="E22" s="40"/>
      <c r="F22" s="68"/>
      <c r="G22" s="71"/>
      <c r="H22" s="52"/>
      <c r="I22" s="69"/>
      <c r="J22" s="71"/>
      <c r="K22" s="52"/>
      <c r="L22" s="129"/>
      <c r="M22" s="130"/>
      <c r="N22" s="140"/>
      <c r="O22" s="129"/>
      <c r="P22" s="131"/>
      <c r="Q22" s="132"/>
      <c r="R22" s="129"/>
      <c r="S22" s="133"/>
      <c r="T22" s="134"/>
      <c r="U22" s="156"/>
      <c r="V22" s="83"/>
    </row>
    <row r="23" spans="2:22" ht="15.5">
      <c r="B23" s="31">
        <f t="shared" si="6"/>
        <v>16</v>
      </c>
      <c r="C23" s="54">
        <f>'DAFNIL NAM'!C23</f>
        <v>0</v>
      </c>
      <c r="D23" s="67"/>
      <c r="E23" s="40"/>
      <c r="F23" s="68"/>
      <c r="G23" s="71"/>
      <c r="H23" s="52"/>
      <c r="I23" s="69"/>
      <c r="J23" s="71"/>
      <c r="K23" s="52"/>
      <c r="L23" s="129"/>
      <c r="M23" s="130"/>
      <c r="N23" s="140"/>
      <c r="O23" s="129"/>
      <c r="P23" s="131"/>
      <c r="Q23" s="132"/>
      <c r="R23" s="129"/>
      <c r="S23" s="133"/>
      <c r="T23" s="134"/>
      <c r="U23" s="156"/>
      <c r="V23" s="124"/>
    </row>
    <row r="24" spans="2:22" ht="15.5">
      <c r="B24" s="31">
        <f t="shared" si="6"/>
        <v>17</v>
      </c>
      <c r="C24" s="54">
        <f>'DAFNIL NAM'!C24</f>
        <v>0</v>
      </c>
      <c r="D24" s="67"/>
      <c r="E24" s="40"/>
      <c r="F24" s="68"/>
      <c r="G24" s="71"/>
      <c r="H24" s="52"/>
      <c r="I24" s="69"/>
      <c r="J24" s="71"/>
      <c r="K24" s="52"/>
      <c r="L24" s="129"/>
      <c r="M24" s="130"/>
      <c r="N24" s="140"/>
      <c r="O24" s="129"/>
      <c r="P24" s="131"/>
      <c r="Q24" s="132"/>
      <c r="R24" s="129"/>
      <c r="S24" s="133"/>
      <c r="T24" s="134"/>
      <c r="U24" s="135"/>
      <c r="V24" s="83"/>
    </row>
    <row r="25" spans="2:22" ht="15.5">
      <c r="B25" s="31">
        <f t="shared" si="6"/>
        <v>18</v>
      </c>
      <c r="C25" s="54">
        <f>'DAFNIL NAM'!C25</f>
        <v>0</v>
      </c>
      <c r="D25" s="67"/>
      <c r="E25" s="40"/>
      <c r="F25" s="68"/>
      <c r="G25" s="71"/>
      <c r="H25" s="51"/>
      <c r="I25" s="69"/>
      <c r="J25" s="71"/>
      <c r="K25" s="52"/>
      <c r="L25" s="129"/>
      <c r="M25" s="130"/>
      <c r="N25" s="136"/>
      <c r="O25" s="129"/>
      <c r="P25" s="131"/>
      <c r="Q25" s="132"/>
      <c r="R25" s="129"/>
      <c r="S25" s="133"/>
      <c r="T25" s="129"/>
      <c r="U25" s="82"/>
      <c r="V25" s="83"/>
    </row>
    <row r="26" spans="2:22" ht="15.5">
      <c r="B26" s="31">
        <f t="shared" si="6"/>
        <v>19</v>
      </c>
      <c r="C26" s="54">
        <f>'DAFNIL NAM'!C26</f>
        <v>0</v>
      </c>
      <c r="D26" s="67"/>
      <c r="E26" s="40"/>
      <c r="F26" s="68"/>
      <c r="G26" s="71"/>
      <c r="H26" s="51"/>
      <c r="I26" s="69"/>
      <c r="J26" s="71"/>
      <c r="K26" s="52"/>
      <c r="L26" s="129"/>
      <c r="M26" s="130"/>
      <c r="N26" s="136"/>
      <c r="O26" s="129"/>
      <c r="P26" s="131"/>
      <c r="Q26" s="132"/>
      <c r="R26" s="129"/>
      <c r="S26" s="133"/>
      <c r="T26" s="129"/>
      <c r="U26" s="82"/>
      <c r="V26" s="83"/>
    </row>
    <row r="27" spans="2:22" ht="15.5">
      <c r="B27" s="31">
        <f t="shared" si="6"/>
        <v>20</v>
      </c>
      <c r="C27" s="54">
        <f>'DAFNIL NAM'!C27</f>
        <v>0</v>
      </c>
      <c r="D27" s="67"/>
      <c r="E27" s="40"/>
      <c r="F27" s="68"/>
      <c r="G27" s="71"/>
      <c r="H27" s="51"/>
      <c r="I27" s="69"/>
      <c r="J27" s="71"/>
      <c r="K27" s="52"/>
      <c r="L27" s="129"/>
      <c r="M27" s="130"/>
      <c r="N27" s="136"/>
      <c r="O27" s="129"/>
      <c r="P27" s="131"/>
      <c r="Q27" s="132"/>
      <c r="R27" s="129"/>
      <c r="S27" s="133"/>
      <c r="T27" s="129"/>
      <c r="U27" s="82"/>
      <c r="V27" s="83"/>
    </row>
    <row r="28" spans="2:22" ht="15.5">
      <c r="B28" s="31">
        <f t="shared" si="6"/>
        <v>21</v>
      </c>
      <c r="C28" s="54">
        <f>'DAFNIL NAM'!C28</f>
        <v>0</v>
      </c>
      <c r="D28" s="67"/>
      <c r="E28" s="40"/>
      <c r="F28" s="68"/>
      <c r="G28" s="71"/>
      <c r="H28" s="51"/>
      <c r="I28" s="69"/>
      <c r="J28" s="71"/>
      <c r="K28" s="52"/>
      <c r="L28" s="129"/>
      <c r="M28" s="130"/>
      <c r="N28" s="136"/>
      <c r="O28" s="129"/>
      <c r="P28" s="131"/>
      <c r="Q28" s="132"/>
      <c r="R28" s="129"/>
      <c r="S28" s="133"/>
      <c r="T28" s="129"/>
      <c r="U28" s="82"/>
      <c r="V28" s="83"/>
    </row>
    <row r="29" spans="2:22" ht="15.5">
      <c r="B29" s="31">
        <f t="shared" si="6"/>
        <v>22</v>
      </c>
      <c r="C29" s="54">
        <f>'DAFNIL NAM'!C29</f>
        <v>0</v>
      </c>
      <c r="D29" s="67"/>
      <c r="E29" s="40"/>
      <c r="F29" s="68"/>
      <c r="G29" s="71"/>
      <c r="H29" s="51"/>
      <c r="I29" s="69"/>
      <c r="J29" s="71"/>
      <c r="K29" s="52"/>
      <c r="L29" s="129"/>
      <c r="M29" s="130"/>
      <c r="N29" s="136"/>
      <c r="O29" s="129"/>
      <c r="P29" s="131"/>
      <c r="Q29" s="132"/>
      <c r="R29" s="129"/>
      <c r="S29" s="133"/>
      <c r="T29" s="129"/>
      <c r="U29" s="82"/>
      <c r="V29" s="83"/>
    </row>
    <row r="30" spans="2:22" ht="15.5">
      <c r="B30" s="31">
        <f t="shared" si="6"/>
        <v>23</v>
      </c>
      <c r="C30" s="54">
        <f>'DAFNIL NAM'!C30</f>
        <v>0</v>
      </c>
      <c r="D30" s="67"/>
      <c r="E30" s="40"/>
      <c r="F30" s="68"/>
      <c r="G30" s="71"/>
      <c r="H30" s="51"/>
      <c r="I30" s="69"/>
      <c r="J30" s="71"/>
      <c r="K30" s="52"/>
      <c r="L30" s="129"/>
      <c r="M30" s="130"/>
      <c r="N30" s="136"/>
      <c r="O30" s="129"/>
      <c r="P30" s="131"/>
      <c r="Q30" s="132"/>
      <c r="R30" s="129"/>
      <c r="S30" s="133"/>
      <c r="T30" s="129"/>
      <c r="U30" s="82"/>
      <c r="V30" s="83"/>
    </row>
    <row r="31" spans="2:22" ht="15.5">
      <c r="B31" s="31">
        <f t="shared" si="6"/>
        <v>24</v>
      </c>
      <c r="C31" s="54">
        <f>'DAFNIL NAM'!C31</f>
        <v>0</v>
      </c>
      <c r="D31" s="67"/>
      <c r="E31" s="40"/>
      <c r="F31" s="68"/>
      <c r="G31" s="71"/>
      <c r="H31" s="51"/>
      <c r="I31" s="69"/>
      <c r="J31" s="71"/>
      <c r="K31" s="52"/>
      <c r="L31" s="129"/>
      <c r="M31" s="130"/>
      <c r="N31" s="136"/>
      <c r="O31" s="129"/>
      <c r="P31" s="131"/>
      <c r="Q31" s="132"/>
      <c r="R31" s="129"/>
      <c r="S31" s="133"/>
      <c r="T31" s="129"/>
      <c r="U31" s="82"/>
      <c r="V31" s="83"/>
    </row>
    <row r="32" spans="2:22" ht="15.5">
      <c r="B32" s="31">
        <f t="shared" si="6"/>
        <v>25</v>
      </c>
      <c r="C32" s="54">
        <f>'DAFNIL NAM'!C32</f>
        <v>0</v>
      </c>
      <c r="D32" s="67"/>
      <c r="E32" s="40"/>
      <c r="F32" s="68"/>
      <c r="G32" s="71"/>
      <c r="H32" s="51"/>
      <c r="I32" s="69"/>
      <c r="J32" s="71"/>
      <c r="K32" s="52"/>
      <c r="L32" s="129"/>
      <c r="M32" s="130"/>
      <c r="N32" s="136"/>
      <c r="O32" s="129"/>
      <c r="P32" s="131"/>
      <c r="Q32" s="132"/>
      <c r="R32" s="129"/>
      <c r="S32" s="133"/>
      <c r="T32" s="137"/>
      <c r="U32" s="82"/>
      <c r="V32" s="83"/>
    </row>
    <row r="33" spans="2:22" ht="15.5">
      <c r="B33" s="31">
        <f t="shared" si="6"/>
        <v>26</v>
      </c>
      <c r="C33" s="54">
        <f>'DAFNIL NAM'!C33</f>
        <v>0</v>
      </c>
      <c r="D33" s="67"/>
      <c r="E33" s="40"/>
      <c r="F33" s="68"/>
      <c r="G33" s="71"/>
      <c r="H33" s="51"/>
      <c r="I33" s="69"/>
      <c r="J33" s="71"/>
      <c r="K33" s="52"/>
      <c r="L33" s="129"/>
      <c r="M33" s="130"/>
      <c r="N33" s="136"/>
      <c r="O33" s="129"/>
      <c r="P33" s="131"/>
      <c r="Q33" s="132"/>
      <c r="R33" s="137"/>
      <c r="S33" s="133"/>
      <c r="T33" s="137"/>
      <c r="U33" s="82"/>
      <c r="V33" s="83"/>
    </row>
    <row r="34" spans="2:22" ht="15.5">
      <c r="B34" s="31">
        <f t="shared" si="6"/>
        <v>27</v>
      </c>
      <c r="C34" s="54">
        <f>'DAFNIL NAM'!C34</f>
        <v>0</v>
      </c>
      <c r="D34" s="67"/>
      <c r="E34" s="40"/>
      <c r="F34" s="68"/>
      <c r="G34" s="71"/>
      <c r="H34" s="51"/>
      <c r="I34" s="69"/>
      <c r="J34" s="71"/>
      <c r="K34" s="52"/>
      <c r="L34" s="72"/>
      <c r="M34" s="74"/>
      <c r="N34" s="51"/>
      <c r="O34" s="72"/>
      <c r="P34" s="71"/>
      <c r="Q34" s="63"/>
      <c r="R34" s="81"/>
      <c r="S34" s="96"/>
      <c r="T34" s="81"/>
      <c r="U34" s="82"/>
      <c r="V34" s="83"/>
    </row>
    <row r="35" spans="2:22" ht="15.5">
      <c r="B35" s="31">
        <f t="shared" si="6"/>
        <v>28</v>
      </c>
      <c r="C35" s="54">
        <f>'DAFNIL NAM'!C35</f>
        <v>0</v>
      </c>
      <c r="D35" s="67"/>
      <c r="E35" s="40"/>
      <c r="F35" s="68"/>
      <c r="G35" s="71"/>
      <c r="H35" s="51"/>
      <c r="I35" s="69"/>
      <c r="J35" s="71"/>
      <c r="K35" s="52"/>
      <c r="L35" s="72"/>
      <c r="M35" s="74"/>
      <c r="N35" s="51"/>
      <c r="O35" s="72"/>
      <c r="P35" s="71"/>
      <c r="Q35" s="63"/>
      <c r="R35" s="81"/>
      <c r="S35" s="96"/>
      <c r="T35" s="81"/>
      <c r="U35" s="82"/>
      <c r="V35" s="83"/>
    </row>
    <row r="36" spans="2:22" ht="16" thickBot="1">
      <c r="B36" s="31">
        <f t="shared" si="6"/>
        <v>29</v>
      </c>
      <c r="C36" s="54">
        <f>'DAFNIL NAM'!C36</f>
        <v>0</v>
      </c>
      <c r="D36" s="67"/>
      <c r="E36" s="40"/>
      <c r="F36" s="68"/>
      <c r="G36" s="71"/>
      <c r="H36" s="51"/>
      <c r="I36" s="69"/>
      <c r="J36" s="71"/>
      <c r="K36" s="52"/>
      <c r="L36" s="72"/>
      <c r="M36" s="74"/>
      <c r="N36" s="51"/>
      <c r="O36" s="72"/>
      <c r="P36" s="71"/>
      <c r="Q36" s="63"/>
      <c r="R36" s="81"/>
      <c r="S36" s="96"/>
      <c r="T36" s="81"/>
      <c r="U36" s="84"/>
      <c r="V36" s="85"/>
    </row>
    <row r="38" spans="2:22" ht="13" thickBot="1">
      <c r="B38" t="s">
        <v>23</v>
      </c>
    </row>
    <row r="39" spans="2:22" ht="15.5">
      <c r="B39" t="s">
        <v>24</v>
      </c>
      <c r="G39" s="4" t="s">
        <v>5</v>
      </c>
      <c r="H39" s="5"/>
      <c r="I39" s="5"/>
      <c r="J39" s="5"/>
    </row>
    <row r="40" spans="2:22" ht="15.5">
      <c r="G40" s="6" t="s">
        <v>6</v>
      </c>
      <c r="H40" s="7"/>
      <c r="I40" s="7"/>
      <c r="J40" s="7"/>
    </row>
    <row r="41" spans="2:22" ht="16" thickBot="1">
      <c r="G41" s="9" t="s">
        <v>8</v>
      </c>
      <c r="H41" s="10"/>
      <c r="I41" s="10"/>
      <c r="J41" s="11"/>
    </row>
    <row r="42" spans="2:22">
      <c r="B42" s="27" t="s">
        <v>25</v>
      </c>
    </row>
  </sheetData>
  <mergeCells count="14">
    <mergeCell ref="S6:T7"/>
    <mergeCell ref="U6:V6"/>
    <mergeCell ref="B1:Q1"/>
    <mergeCell ref="B2:Q2"/>
    <mergeCell ref="P6:R6"/>
    <mergeCell ref="M6:O6"/>
    <mergeCell ref="J6:L6"/>
    <mergeCell ref="G6:I6"/>
    <mergeCell ref="D6:F6"/>
    <mergeCell ref="D7:F7"/>
    <mergeCell ref="G7:I7"/>
    <mergeCell ref="J7:L7"/>
    <mergeCell ref="M7:O7"/>
    <mergeCell ref="P7:R7"/>
  </mergeCells>
  <pageMargins left="0.3" right="0.25" top="0.25" bottom="0.25" header="0.62" footer="0.5"/>
  <pageSetup paperSize="5" orientation="portrait" horizontalDpi="4294967294" verticalDpi="18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B1:W37"/>
  <sheetViews>
    <sheetView showGridLines="0" topLeftCell="A4" zoomScale="120" zoomScaleNormal="120" workbookViewId="0">
      <selection activeCell="V2" sqref="V2:W15"/>
    </sheetView>
  </sheetViews>
  <sheetFormatPr defaultRowHeight="12.5"/>
  <cols>
    <col min="2" max="2" width="5.7265625" customWidth="1"/>
    <col min="3" max="3" width="29.7265625" customWidth="1"/>
    <col min="4" max="4" width="6.1796875" customWidth="1"/>
    <col min="5" max="5" width="6.453125" customWidth="1"/>
    <col min="6" max="6" width="6" customWidth="1"/>
    <col min="7" max="7" width="6.26953125" customWidth="1"/>
    <col min="8" max="8" width="5.453125" customWidth="1"/>
    <col min="9" max="9" width="6.26953125" customWidth="1"/>
    <col min="10" max="10" width="6.81640625" customWidth="1"/>
    <col min="11" max="11" width="6.7265625" customWidth="1"/>
    <col min="12" max="12" width="6.453125" customWidth="1"/>
    <col min="13" max="13" width="6.81640625" customWidth="1"/>
    <col min="14" max="14" width="5.453125" customWidth="1"/>
    <col min="15" max="15" width="7" customWidth="1"/>
    <col min="16" max="16" width="7.1796875" customWidth="1"/>
    <col min="17" max="17" width="6.81640625" customWidth="1"/>
    <col min="18" max="21" width="7.7265625" customWidth="1"/>
    <col min="22" max="22" width="12.81640625" customWidth="1"/>
    <col min="23" max="23" width="16.1796875" customWidth="1"/>
  </cols>
  <sheetData>
    <row r="1" spans="2:23" ht="27" customHeight="1" thickBot="1">
      <c r="B1" s="153" t="s">
        <v>1</v>
      </c>
      <c r="C1" s="154" t="s">
        <v>2</v>
      </c>
      <c r="D1" s="144" t="s">
        <v>45</v>
      </c>
      <c r="E1" s="144" t="s">
        <v>47</v>
      </c>
      <c r="F1" s="144" t="s">
        <v>48</v>
      </c>
      <c r="G1" s="144" t="s">
        <v>49</v>
      </c>
      <c r="H1" s="144" t="s">
        <v>46</v>
      </c>
      <c r="I1" s="144" t="s">
        <v>50</v>
      </c>
      <c r="J1" s="144" t="s">
        <v>51</v>
      </c>
      <c r="K1" s="144" t="s">
        <v>52</v>
      </c>
      <c r="L1" s="144" t="s">
        <v>53</v>
      </c>
      <c r="M1" s="144" t="s">
        <v>54</v>
      </c>
      <c r="N1" s="144" t="s">
        <v>55</v>
      </c>
      <c r="O1" s="144" t="s">
        <v>56</v>
      </c>
      <c r="P1" s="144" t="s">
        <v>57</v>
      </c>
      <c r="Q1" s="144" t="s">
        <v>58</v>
      </c>
      <c r="R1" s="144" t="s">
        <v>59</v>
      </c>
      <c r="S1" s="145" t="s">
        <v>60</v>
      </c>
      <c r="T1" s="145" t="s">
        <v>61</v>
      </c>
      <c r="U1" s="145" t="s">
        <v>63</v>
      </c>
      <c r="V1" s="88" t="s">
        <v>42</v>
      </c>
      <c r="W1" s="89" t="s">
        <v>43</v>
      </c>
    </row>
    <row r="2" spans="2:23" ht="15.5">
      <c r="B2" s="146">
        <v>1</v>
      </c>
      <c r="C2" s="147" t="str">
        <f>+'Rangkuman NAM'!C8</f>
        <v>Archie Manuel Ferbianto</v>
      </c>
      <c r="D2" s="75">
        <f>'Rangkuman NAM'!E8</f>
        <v>80</v>
      </c>
      <c r="E2" s="76" t="str">
        <f>'Rangkuman NAM'!F8</f>
        <v>BSH</v>
      </c>
      <c r="F2" s="148"/>
      <c r="G2" s="77">
        <f>'Rangkuman NAM'!H8</f>
        <v>72</v>
      </c>
      <c r="H2" s="77" t="str">
        <f>'Rangkuman NAM'!I8</f>
        <v>MB</v>
      </c>
      <c r="I2" s="149"/>
      <c r="J2" s="77">
        <f>'Rangkuman NAM'!K8</f>
        <v>80</v>
      </c>
      <c r="K2" s="77" t="str">
        <f>'Rangkuman NAM'!L8</f>
        <v>BSH</v>
      </c>
      <c r="L2" s="90"/>
      <c r="M2" s="150">
        <f>'Rangkuman NAM'!N8</f>
        <v>78</v>
      </c>
      <c r="N2" s="150" t="str">
        <f>'Rangkuman NAM'!O8</f>
        <v>BSH</v>
      </c>
      <c r="O2" s="151"/>
      <c r="P2" s="151">
        <f>'Rangkuman NAM'!Q8</f>
        <v>70</v>
      </c>
      <c r="Q2" s="152" t="str">
        <f>'Rangkuman NAM'!R8</f>
        <v>MB</v>
      </c>
      <c r="R2" s="151"/>
      <c r="S2" s="151">
        <f>'Rangkuman NAM'!S8</f>
        <v>76</v>
      </c>
      <c r="T2" s="152" t="str">
        <f>'Rangkuman NAM'!T8</f>
        <v>BSH</v>
      </c>
      <c r="U2" s="90"/>
      <c r="V2" s="86" t="str">
        <f>'Rangkuman NAM'!U8</f>
        <v>Perkembangan Nilai-Nilai Agama dan Moral Archie berkembang sesuai dengan usianya. Hal ini ditunjukkan oleh kemampuan Archie mempercayai adanya Tuhan melalui ciptaan-Nya misalnya menyebutkan macam-macam ciptaan Tuhan (benda-benda langit dan berbagai macam binatang).</v>
      </c>
      <c r="W2" s="87" t="str">
        <f>'Rangkuman NAM'!V8</f>
        <v>Untuk dapat mengenal perilaku baik sebagai cerminan akhlak mulia misalnya bertutur kata lembut ketika membalas percakapan masih perlu bimbingan dan motivasi dari para guru dan orang tua secara terus menerus. Terima kasih atas perhatian dan kerja samanya. Tuhan memberkati.</v>
      </c>
    </row>
    <row r="3" spans="2:23" ht="15.5">
      <c r="B3" s="33">
        <f t="shared" ref="B3:B30" si="0">B2+1</f>
        <v>2</v>
      </c>
      <c r="C3" s="97" t="str">
        <f>+'Rangkuman NAM'!C9</f>
        <v>Carissa Ilona Thionne</v>
      </c>
      <c r="D3" s="101">
        <f>'Rangkuman NAM'!E9</f>
        <v>98.000000000000014</v>
      </c>
      <c r="E3" s="102" t="str">
        <f>'Rangkuman NAM'!F9</f>
        <v>BSB</v>
      </c>
      <c r="F3" s="106"/>
      <c r="G3" s="103">
        <f>'Rangkuman NAM'!H9</f>
        <v>76</v>
      </c>
      <c r="H3" s="103" t="str">
        <f>'Rangkuman NAM'!I9</f>
        <v>BSH</v>
      </c>
      <c r="I3" s="24"/>
      <c r="J3" s="103">
        <f>'Rangkuman NAM'!K9</f>
        <v>76</v>
      </c>
      <c r="K3" s="103" t="str">
        <f>'Rangkuman NAM'!L9</f>
        <v>BSH</v>
      </c>
      <c r="L3" s="25"/>
      <c r="M3" s="141">
        <f>'Rangkuman NAM'!N9</f>
        <v>80</v>
      </c>
      <c r="N3" s="141" t="str">
        <f>'Rangkuman NAM'!O9</f>
        <v>BSH</v>
      </c>
      <c r="O3" s="142"/>
      <c r="P3" s="142">
        <f>'Rangkuman NAM'!Q9</f>
        <v>80</v>
      </c>
      <c r="Q3" s="143" t="str">
        <f>'Rangkuman NAM'!R9</f>
        <v>BSH</v>
      </c>
      <c r="R3" s="142"/>
      <c r="S3" s="142">
        <f>'Rangkuman NAM'!S9</f>
        <v>82</v>
      </c>
      <c r="T3" s="143" t="str">
        <f>'Rangkuman NAM'!T9</f>
        <v>BSH</v>
      </c>
      <c r="U3" s="90"/>
      <c r="V3" s="86" t="str">
        <f>'Rangkuman NAM'!U9</f>
        <v>Perkembangan Nilai-Nilai Agama dan Moral Carissa berkembang sesuai dengan usianya. Hal ini ditunjukkan oleh kemampuan Carissa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v>
      </c>
      <c r="W3" s="87">
        <f>'Rangkuman NAM'!V9</f>
        <v>0</v>
      </c>
    </row>
    <row r="4" spans="2:23" ht="15.5">
      <c r="B4" s="33">
        <f t="shared" si="0"/>
        <v>3</v>
      </c>
      <c r="C4" s="97" t="str">
        <f>+'Rangkuman NAM'!C10</f>
        <v>Dionysius Alexander Manurung</v>
      </c>
      <c r="D4" s="101">
        <f>'Rangkuman NAM'!E10</f>
        <v>80</v>
      </c>
      <c r="E4" s="102" t="str">
        <f>'Rangkuman NAM'!F10</f>
        <v>BSH</v>
      </c>
      <c r="F4" s="106"/>
      <c r="G4" s="103">
        <f>'Rangkuman NAM'!H10</f>
        <v>66.666666666666671</v>
      </c>
      <c r="H4" s="103" t="str">
        <f>'Rangkuman NAM'!I10</f>
        <v>MB</v>
      </c>
      <c r="I4" s="24"/>
      <c r="J4" s="103">
        <f>'Rangkuman NAM'!K10</f>
        <v>70</v>
      </c>
      <c r="K4" s="103" t="str">
        <f>'Rangkuman NAM'!L10</f>
        <v>MB</v>
      </c>
      <c r="L4" s="25"/>
      <c r="M4" s="141">
        <f>'Rangkuman NAM'!N10</f>
        <v>70</v>
      </c>
      <c r="N4" s="141" t="str">
        <f>'Rangkuman NAM'!O10</f>
        <v>MB</v>
      </c>
      <c r="O4" s="142"/>
      <c r="P4" s="142">
        <f>'Rangkuman NAM'!Q10</f>
        <v>76</v>
      </c>
      <c r="Q4" s="143" t="str">
        <f>'Rangkuman NAM'!R10</f>
        <v>BSH</v>
      </c>
      <c r="R4" s="142"/>
      <c r="S4" s="142">
        <f>'Rangkuman NAM'!S10</f>
        <v>72.533333333333331</v>
      </c>
      <c r="T4" s="143" t="str">
        <f>'Rangkuman NAM'!T10</f>
        <v>MB</v>
      </c>
      <c r="U4" s="90"/>
      <c r="V4" s="86" t="str">
        <f>'Rangkuman NAM'!U10</f>
        <v>Perkembangan Nilai-Nilai Agama dan Moral Dionysius mulai berkembang sesuai dengan usianya. Hal ini ditunjukkan oleh kemampuan Dionysius dapat mempercayai adanya Tuhan melalui ciptaan-Nya misalnya menyebutkan macam-macam ciptaan Tuhan dan buatan manusia.</v>
      </c>
      <c r="W4" s="87" t="str">
        <f>'Rangkuman NAM'!V10</f>
        <v>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v>
      </c>
    </row>
    <row r="5" spans="2:23" ht="15.5">
      <c r="B5" s="33">
        <f t="shared" si="0"/>
        <v>4</v>
      </c>
      <c r="C5" s="97" t="str">
        <f>+'Rangkuman NAM'!C11</f>
        <v>Ethan Anka Wijaya</v>
      </c>
      <c r="D5" s="101">
        <f>'Rangkuman NAM'!E11</f>
        <v>76</v>
      </c>
      <c r="E5" s="102" t="str">
        <f>'Rangkuman NAM'!F11</f>
        <v>BSH</v>
      </c>
      <c r="F5" s="106"/>
      <c r="G5" s="103">
        <f>'Rangkuman NAM'!H11</f>
        <v>68.666666666666671</v>
      </c>
      <c r="H5" s="103" t="str">
        <f>'Rangkuman NAM'!I11</f>
        <v>MB</v>
      </c>
      <c r="I5" s="24"/>
      <c r="J5" s="103">
        <f>'Rangkuman NAM'!K11</f>
        <v>80</v>
      </c>
      <c r="K5" s="103" t="str">
        <f>'Rangkuman NAM'!L11</f>
        <v>BSH</v>
      </c>
      <c r="L5" s="25"/>
      <c r="M5" s="141">
        <f>'Rangkuman NAM'!N11</f>
        <v>74</v>
      </c>
      <c r="N5" s="141" t="str">
        <f>'Rangkuman NAM'!O11</f>
        <v>MB</v>
      </c>
      <c r="O5" s="142"/>
      <c r="P5" s="142">
        <f>'Rangkuman NAM'!Q11</f>
        <v>73</v>
      </c>
      <c r="Q5" s="143" t="str">
        <f>'Rangkuman NAM'!R11</f>
        <v>MB</v>
      </c>
      <c r="R5" s="142"/>
      <c r="S5" s="142">
        <f>'Rangkuman NAM'!S11</f>
        <v>74.333333333333343</v>
      </c>
      <c r="T5" s="143" t="str">
        <f>'Rangkuman NAM'!T11</f>
        <v>BSH</v>
      </c>
      <c r="U5" s="90"/>
      <c r="V5" s="86" t="str">
        <f>'Rangkuman NAM'!U11</f>
        <v>Perkembangan Nilai-Nilai Agama dan Moral Ethan berkembang sesuai dengan usianya. Hal ini ditunjukkan oleh kemampuan Ethan memiliki perilaku yang mencerminkan sikap jujur misalnya dapat mengatakan yang sebenarnya dengan caranya sendiri terutama yang menyangkut tentang dirinya.</v>
      </c>
      <c r="W5" s="87" t="str">
        <f>'Rangkuman NAM'!V11</f>
        <v>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v>
      </c>
    </row>
    <row r="6" spans="2:23" ht="15.5">
      <c r="B6" s="33">
        <f t="shared" si="0"/>
        <v>5</v>
      </c>
      <c r="C6" s="97" t="str">
        <f>+'Rangkuman NAM'!C12</f>
        <v>Gregory Dresetutus Bangun</v>
      </c>
      <c r="D6" s="101">
        <f>'Rangkuman NAM'!E12</f>
        <v>90</v>
      </c>
      <c r="E6" s="102" t="str">
        <f>'Rangkuman NAM'!F12</f>
        <v>BSB</v>
      </c>
      <c r="F6" s="106"/>
      <c r="G6" s="103">
        <f>'Rangkuman NAM'!H12</f>
        <v>75</v>
      </c>
      <c r="H6" s="103" t="str">
        <f>'Rangkuman NAM'!I12</f>
        <v>BSH</v>
      </c>
      <c r="I6" s="24"/>
      <c r="J6" s="103">
        <f>'Rangkuman NAM'!K12</f>
        <v>80</v>
      </c>
      <c r="K6" s="103" t="str">
        <f>'Rangkuman NAM'!L12</f>
        <v>BSH</v>
      </c>
      <c r="L6" s="25"/>
      <c r="M6" s="141">
        <f>'Rangkuman NAM'!N12</f>
        <v>76</v>
      </c>
      <c r="N6" s="141" t="str">
        <f>'Rangkuman NAM'!O12</f>
        <v>BSH</v>
      </c>
      <c r="O6" s="142"/>
      <c r="P6" s="142">
        <f>'Rangkuman NAM'!Q12</f>
        <v>75</v>
      </c>
      <c r="Q6" s="143" t="str">
        <f>'Rangkuman NAM'!R12</f>
        <v>BSH</v>
      </c>
      <c r="R6" s="142"/>
      <c r="S6" s="142">
        <f>'Rangkuman NAM'!S12</f>
        <v>79.2</v>
      </c>
      <c r="T6" s="143" t="str">
        <f>'Rangkuman NAM'!T12</f>
        <v>BSH</v>
      </c>
      <c r="U6" s="90"/>
      <c r="V6" s="86" t="str">
        <f>'Rangkuman NAM'!U12</f>
        <v xml:space="preserve">Perkembangan Nilai-Nilai Agama dan Moral Gregory berkembang sesuai dengan usianya. Hal ini ditunjukkan oleh kemampuan Gregory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 </v>
      </c>
      <c r="W6" s="87">
        <f>'Rangkuman NAM'!V12</f>
        <v>0</v>
      </c>
    </row>
    <row r="7" spans="2:23" ht="15.5">
      <c r="B7" s="33">
        <f t="shared" si="0"/>
        <v>6</v>
      </c>
      <c r="C7" s="97" t="str">
        <f>+'Rangkuman NAM'!C13</f>
        <v>Louisa Kinara Putri</v>
      </c>
      <c r="D7" s="101">
        <f>'Rangkuman NAM'!E13</f>
        <v>100</v>
      </c>
      <c r="E7" s="102" t="str">
        <f>'Rangkuman NAM'!F13</f>
        <v>BSB</v>
      </c>
      <c r="F7" s="106"/>
      <c r="G7" s="103">
        <f>'Rangkuman NAM'!H13</f>
        <v>70</v>
      </c>
      <c r="H7" s="103" t="str">
        <f>'Rangkuman NAM'!I13</f>
        <v>MB</v>
      </c>
      <c r="I7" s="24"/>
      <c r="J7" s="103">
        <f>'Rangkuman NAM'!K13</f>
        <v>70</v>
      </c>
      <c r="K7" s="103" t="str">
        <f>'Rangkuman NAM'!L13</f>
        <v>MB</v>
      </c>
      <c r="L7" s="25"/>
      <c r="M7" s="141">
        <f>'Rangkuman NAM'!N13</f>
        <v>90</v>
      </c>
      <c r="N7" s="141" t="str">
        <f>'Rangkuman NAM'!O13</f>
        <v>BSB</v>
      </c>
      <c r="O7" s="142"/>
      <c r="P7" s="142">
        <f>'Rangkuman NAM'!Q13</f>
        <v>80</v>
      </c>
      <c r="Q7" s="143" t="str">
        <f>'Rangkuman NAM'!R13</f>
        <v>BSH</v>
      </c>
      <c r="R7" s="142"/>
      <c r="S7" s="142">
        <f>'Rangkuman NAM'!S13</f>
        <v>82</v>
      </c>
      <c r="T7" s="143" t="str">
        <f>'Rangkuman NAM'!T13</f>
        <v>BSH</v>
      </c>
      <c r="U7" s="90"/>
      <c r="V7" s="86" t="str">
        <f>'Rangkuman NAM'!U13</f>
        <v>Perkembangan Nilai-Nilai Agama dan Moral Kinara berkembang sesuai dengan usianya. Hal ini ditunjukkan oleh kemampuan Kinara dapat mempercayai adanya Tuhan misalnya mengenal macam-macam ciptaan Tuhan dan membedakan dengan buatan manusia.</v>
      </c>
      <c r="W7" s="87" t="str">
        <f>'Rangkuman NAM'!V13</f>
        <v>Untuk dapat menghargai diri sendiri, orang lain, dan lingkungan sekitar sebagai rasa syukur kepada Tuhan misalnya mengucapkan "Puji Tuhan" sebagai tanda syukur dan dapat memiliki perilaku yang mencerminkan sikap jujur misalnya mengatakan alasan yang sebenarnya tidak menghabiskan bekalnya masih perlu bimbingan dan motivasi dari para guru dan orang tua secara terus menerus. Terima kasih atas perhatian dan kerja samanya. Tuhan memberkati.</v>
      </c>
    </row>
    <row r="8" spans="2:23" ht="15.5">
      <c r="B8" s="33">
        <f t="shared" si="0"/>
        <v>7</v>
      </c>
      <c r="C8" s="97" t="str">
        <f>+'Rangkuman NAM'!C14</f>
        <v>Nathania Anjani Hutagaol</v>
      </c>
      <c r="D8" s="101">
        <f>'Rangkuman NAM'!E14</f>
        <v>100</v>
      </c>
      <c r="E8" s="102" t="str">
        <f>'Rangkuman NAM'!F14</f>
        <v>BSB</v>
      </c>
      <c r="F8" s="106"/>
      <c r="G8" s="103">
        <f>'Rangkuman NAM'!H14</f>
        <v>75.333333333333343</v>
      </c>
      <c r="H8" s="103" t="str">
        <f>'Rangkuman NAM'!I14</f>
        <v>BSH</v>
      </c>
      <c r="I8" s="24"/>
      <c r="J8" s="103">
        <f>'Rangkuman NAM'!K14</f>
        <v>76</v>
      </c>
      <c r="K8" s="103" t="str">
        <f>'Rangkuman NAM'!L14</f>
        <v>BSH</v>
      </c>
      <c r="L8" s="25"/>
      <c r="M8" s="141">
        <f>'Rangkuman NAM'!N14</f>
        <v>90</v>
      </c>
      <c r="N8" s="141" t="str">
        <f>'Rangkuman NAM'!O14</f>
        <v>BSB</v>
      </c>
      <c r="O8" s="142"/>
      <c r="P8" s="142">
        <f>'Rangkuman NAM'!Q14</f>
        <v>80</v>
      </c>
      <c r="Q8" s="143" t="str">
        <f>'Rangkuman NAM'!R14</f>
        <v>BSH</v>
      </c>
      <c r="R8" s="142"/>
      <c r="S8" s="142">
        <f>'Rangkuman NAM'!S14</f>
        <v>84.26666666666668</v>
      </c>
      <c r="T8" s="143" t="str">
        <f>'Rangkuman NAM'!T14</f>
        <v>BSH</v>
      </c>
      <c r="U8" s="90"/>
      <c r="V8" s="86" t="str">
        <f>'Rangkuman NAM'!U14</f>
        <v>Perkembangan Nilai-Nilai Agama dan Moral Anjani berkembang sesuai dengan usianya. Hal ini ditunjukkan oleh kemampuan Anjani dapat mempercayai adanya Tuhan misalnya mengenal macam-macam ciptaan Tuhan dan membedakan dengan buatan manusia. Pertahankan dan tingkatkan prestasi di kelompok A. Terima kasih atas perhatian dan kerja samanya. Tuhan memberkati.</v>
      </c>
      <c r="W8" s="87">
        <f>'Rangkuman NAM'!V14</f>
        <v>0</v>
      </c>
    </row>
    <row r="9" spans="2:23" ht="15.5">
      <c r="B9" s="33">
        <f t="shared" si="0"/>
        <v>8</v>
      </c>
      <c r="C9" s="97" t="str">
        <f>+'Rangkuman NAM'!C15</f>
        <v>Nathaniel Axelio</v>
      </c>
      <c r="D9" s="101">
        <f>'Rangkuman NAM'!E15</f>
        <v>95</v>
      </c>
      <c r="E9" s="102" t="str">
        <f>'Rangkuman NAM'!F15</f>
        <v>BSB</v>
      </c>
      <c r="F9" s="106"/>
      <c r="G9" s="103">
        <f>'Rangkuman NAM'!H15</f>
        <v>74.666666666666657</v>
      </c>
      <c r="H9" s="103" t="str">
        <f>'Rangkuman NAM'!I15</f>
        <v>BSH</v>
      </c>
      <c r="I9" s="24"/>
      <c r="J9" s="103">
        <f>'Rangkuman NAM'!K15</f>
        <v>80</v>
      </c>
      <c r="K9" s="103" t="str">
        <f>'Rangkuman NAM'!L15</f>
        <v>BSH</v>
      </c>
      <c r="L9" s="25"/>
      <c r="M9" s="141">
        <f>'Rangkuman NAM'!N15</f>
        <v>80</v>
      </c>
      <c r="N9" s="141" t="str">
        <f>'Rangkuman NAM'!O15</f>
        <v>BSH</v>
      </c>
      <c r="O9" s="142"/>
      <c r="P9" s="142">
        <f>'Rangkuman NAM'!Q15</f>
        <v>76.666666666666671</v>
      </c>
      <c r="Q9" s="143" t="str">
        <f>'Rangkuman NAM'!R15</f>
        <v>BSH</v>
      </c>
      <c r="R9" s="142"/>
      <c r="S9" s="142">
        <f>'Rangkuman NAM'!S15</f>
        <v>81.266666666666666</v>
      </c>
      <c r="T9" s="143" t="str">
        <f>'Rangkuman NAM'!T15</f>
        <v>BSH</v>
      </c>
      <c r="U9" s="90"/>
      <c r="V9" s="86" t="str">
        <f>'Rangkuman NAM'!U15</f>
        <v>Perkembangan Nilai-Nilai Agama dan Moral Axelio berkembang sesuai dengan usianya. Hal ini ditunjukkan oleh kemampuan Axelio dapat mempercayai adanya Tuhan melalui ciptaan-Nya misalnya menyebutkan macam-macam ciptaan Tuhan (benda-benda langit, berbagai macam binatang, dan benda-benda di sekitarnya). Pertahankan dan tingkatkan prestasi di kelompok A. Terima kasih atas perhatian dan kerja samanya. Tuhan memberkati.</v>
      </c>
      <c r="W9" s="87">
        <f>'Rangkuman NAM'!V15</f>
        <v>0</v>
      </c>
    </row>
    <row r="10" spans="2:23" ht="15.5">
      <c r="B10" s="33">
        <f t="shared" si="0"/>
        <v>9</v>
      </c>
      <c r="C10" s="97" t="str">
        <f>+'Rangkuman NAM'!C16</f>
        <v>Oktaviany Hambali Putri</v>
      </c>
      <c r="D10" s="101">
        <f>'Rangkuman NAM'!E16</f>
        <v>80</v>
      </c>
      <c r="E10" s="102" t="str">
        <f>'Rangkuman NAM'!F16</f>
        <v>BSH</v>
      </c>
      <c r="F10" s="106"/>
      <c r="G10" s="103">
        <f>'Rangkuman NAM'!H16</f>
        <v>66.666666666666671</v>
      </c>
      <c r="H10" s="103" t="str">
        <f>'Rangkuman NAM'!I16</f>
        <v>MB</v>
      </c>
      <c r="I10" s="24"/>
      <c r="J10" s="103">
        <f>'Rangkuman NAM'!K16</f>
        <v>70</v>
      </c>
      <c r="K10" s="103" t="str">
        <f>'Rangkuman NAM'!L16</f>
        <v>MB</v>
      </c>
      <c r="L10" s="25"/>
      <c r="M10" s="141">
        <f>'Rangkuman NAM'!N16</f>
        <v>70</v>
      </c>
      <c r="N10" s="141" t="str">
        <f>'Rangkuman NAM'!O16</f>
        <v>MB</v>
      </c>
      <c r="O10" s="142"/>
      <c r="P10" s="142">
        <f>'Rangkuman NAM'!Q16</f>
        <v>70</v>
      </c>
      <c r="Q10" s="143" t="str">
        <f>'Rangkuman NAM'!R16</f>
        <v>MB</v>
      </c>
      <c r="R10" s="142"/>
      <c r="S10" s="142">
        <f>'Rangkuman NAM'!S16</f>
        <v>71.333333333333343</v>
      </c>
      <c r="T10" s="143" t="str">
        <f>'Rangkuman NAM'!T16</f>
        <v>MB</v>
      </c>
      <c r="U10" s="90"/>
      <c r="V10" s="86" t="str">
        <f>'Rangkuman NAM'!U16</f>
        <v>Perkembangan Nilai-Nilai Agama dan Moral Oktaviany mulai berkembang sesuai dengan usianya. Hal ini ditunjukkan oleh kemampuan Oktaviany dapat mempercayai adanya Tuhan melalui ciptaan-Nya misalnya menyebutkan macam-macam ciptaan Tuhan.</v>
      </c>
      <c r="W10" s="87" t="str">
        <f>'Rangkuman NAM'!V16</f>
        <v>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v>
      </c>
    </row>
    <row r="11" spans="2:23" ht="15.5">
      <c r="B11" s="33">
        <f t="shared" si="0"/>
        <v>10</v>
      </c>
      <c r="C11" s="97" t="str">
        <f>+'Rangkuman NAM'!C17</f>
        <v>Pelangi Belia Anugerah Siahaan</v>
      </c>
      <c r="D11" s="101">
        <f>'Rangkuman NAM'!E17</f>
        <v>70</v>
      </c>
      <c r="E11" s="102" t="str">
        <f>'Rangkuman NAM'!F17</f>
        <v>MB</v>
      </c>
      <c r="F11" s="106"/>
      <c r="G11" s="103">
        <f>'Rangkuman NAM'!H17</f>
        <v>70</v>
      </c>
      <c r="H11" s="103" t="str">
        <f>'Rangkuman NAM'!I17</f>
        <v>MB</v>
      </c>
      <c r="I11" s="24"/>
      <c r="J11" s="103">
        <f>'Rangkuman NAM'!K17</f>
        <v>80</v>
      </c>
      <c r="K11" s="103" t="str">
        <f>'Rangkuman NAM'!L17</f>
        <v>BSH</v>
      </c>
      <c r="L11" s="25"/>
      <c r="M11" s="141">
        <f>'Rangkuman NAM'!N17</f>
        <v>77</v>
      </c>
      <c r="N11" s="141" t="str">
        <f>'Rangkuman NAM'!O17</f>
        <v>BSH</v>
      </c>
      <c r="O11" s="142"/>
      <c r="P11" s="142">
        <f>'Rangkuman NAM'!Q17</f>
        <v>80</v>
      </c>
      <c r="Q11" s="143" t="str">
        <f>'Rangkuman NAM'!R17</f>
        <v>BSH</v>
      </c>
      <c r="R11" s="142"/>
      <c r="S11" s="142">
        <f>'Rangkuman NAM'!S17</f>
        <v>75.400000000000006</v>
      </c>
      <c r="T11" s="143" t="str">
        <f>'Rangkuman NAM'!T17</f>
        <v>BSH</v>
      </c>
      <c r="U11" s="90"/>
      <c r="V11" s="86" t="str">
        <f>'Rangkuman NAM'!U17</f>
        <v>Perkembangan Nilai-Nilai Agama dan Moral Pelangi berkembang sesuai dengan usianya. Hal ini ditunjukkan oleh kemampuan Pelangi dapat memiliki perilaku yang mencerminkan sikap jujur misalnya menunjukkan kesesuaian sikap dan perasaan dan mengenal perilaku baik sebagai cerminan akhlak mulia misalnya mau diarahkan tentang tata cara makan yang baik (menggunakan tangan kanan)</v>
      </c>
      <c r="W11" s="87" t="str">
        <f>'Rangkuman NAM'!V17</f>
        <v>Untuk dapat mempercayai adanya Tuhan melalui ciptaan-Nya misalnya menyebutkan macam-macam ciptaan Tuhan dan menghargai diri sendiri, orang lain, dan lingkungan sekitar sebagai rasa syukur kepada Tuhan misalnya mengucapkan "Puji Tuhan" masih perlu bimbingan dan motivasi  dari para guru dan orang tua secara terus menerus. Terima kasih atas perhatian dan kerja samanya. Tuhan memberkati.</v>
      </c>
    </row>
    <row r="12" spans="2:23" ht="15.5">
      <c r="B12" s="33">
        <f t="shared" si="0"/>
        <v>11</v>
      </c>
      <c r="C12" s="97" t="str">
        <f>+'Rangkuman NAM'!C18</f>
        <v>Valencia Laura</v>
      </c>
      <c r="D12" s="101">
        <f>'Rangkuman NAM'!E18</f>
        <v>100</v>
      </c>
      <c r="E12" s="102" t="str">
        <f>'Rangkuman NAM'!F18</f>
        <v>BSB</v>
      </c>
      <c r="F12" s="106"/>
      <c r="G12" s="103">
        <f>'Rangkuman NAM'!H18</f>
        <v>70</v>
      </c>
      <c r="H12" s="103" t="str">
        <f>'Rangkuman NAM'!I18</f>
        <v>MB</v>
      </c>
      <c r="I12" s="24"/>
      <c r="J12" s="103">
        <f>'Rangkuman NAM'!K18</f>
        <v>70</v>
      </c>
      <c r="K12" s="103" t="str">
        <f>'Rangkuman NAM'!L18</f>
        <v>MB</v>
      </c>
      <c r="L12" s="25"/>
      <c r="M12" s="141">
        <f>'Rangkuman NAM'!N18</f>
        <v>90</v>
      </c>
      <c r="N12" s="141" t="str">
        <f>'Rangkuman NAM'!O18</f>
        <v>BSB</v>
      </c>
      <c r="O12" s="142"/>
      <c r="P12" s="142">
        <f>'Rangkuman NAM'!Q18</f>
        <v>75</v>
      </c>
      <c r="Q12" s="143" t="str">
        <f>'Rangkuman NAM'!R18</f>
        <v>BSH</v>
      </c>
      <c r="R12" s="142"/>
      <c r="S12" s="142">
        <f>'Rangkuman NAM'!S18</f>
        <v>81</v>
      </c>
      <c r="T12" s="143" t="str">
        <f>'Rangkuman NAM'!T18</f>
        <v>BSH</v>
      </c>
      <c r="U12" s="90"/>
      <c r="V12" s="86" t="str">
        <f>'Rangkuman NAM'!U18</f>
        <v>Perkembangan Nilai-Nilai Agama dan Moral Laura berkembang sesuai dengan usianya. Hal ini ditunjukkan oleh kemampuan Laura dapat mempercayai adanya Tuhan misalnya mengenal macam-macam ciptaan Tuhan dan membedakan dengan buatan manusia.</v>
      </c>
      <c r="W12" s="87" t="str">
        <f>'Rangkuman NAM'!V18</f>
        <v>Untuk dapat menghargai diri sendiri, orang lain, dan lingkungan sekitar sebagai rasa syukur kepada Tuhan misalnya mengucapkan "Puji Tuhan" sebagai tanda syukur dan dapat memiliki perilaku yang mencerminkan sikap jujur misalnya tidak menyembunyikan potongan kertas saat membuat kolase masih perlu bimbingan dan motivasi dari para guru dan orang tua secara terus menerus. Terima kasih atas perhatian dan kerja samanya. Tuhan memberkati.</v>
      </c>
    </row>
    <row r="13" spans="2:23" ht="15.5">
      <c r="B13" s="33">
        <f t="shared" si="0"/>
        <v>12</v>
      </c>
      <c r="C13" s="97" t="str">
        <f>+'Rangkuman NAM'!C19</f>
        <v>Yocelin Nathania Manalu</v>
      </c>
      <c r="D13" s="101">
        <f>'Rangkuman NAM'!E19</f>
        <v>80</v>
      </c>
      <c r="E13" s="102" t="str">
        <f>'Rangkuman NAM'!F19</f>
        <v>BSH</v>
      </c>
      <c r="F13" s="106"/>
      <c r="G13" s="103">
        <f>'Rangkuman NAM'!H19</f>
        <v>65.333333333333343</v>
      </c>
      <c r="H13" s="103" t="str">
        <f>'Rangkuman NAM'!I19</f>
        <v>MB</v>
      </c>
      <c r="I13" s="24"/>
      <c r="J13" s="103">
        <f>'Rangkuman NAM'!K19</f>
        <v>76</v>
      </c>
      <c r="K13" s="103" t="str">
        <f>'Rangkuman NAM'!L19</f>
        <v>BSH</v>
      </c>
      <c r="L13" s="25"/>
      <c r="M13" s="141">
        <f>'Rangkuman NAM'!N19</f>
        <v>76</v>
      </c>
      <c r="N13" s="141" t="str">
        <f>'Rangkuman NAM'!O19</f>
        <v>BSH</v>
      </c>
      <c r="O13" s="142"/>
      <c r="P13" s="142">
        <f>'Rangkuman NAM'!Q19</f>
        <v>80</v>
      </c>
      <c r="Q13" s="143" t="str">
        <f>'Rangkuman NAM'!R19</f>
        <v>BSH</v>
      </c>
      <c r="R13" s="142"/>
      <c r="S13" s="142">
        <f>'Rangkuman NAM'!S19</f>
        <v>75.466666666666669</v>
      </c>
      <c r="T13" s="143" t="str">
        <f>'Rangkuman NAM'!T19</f>
        <v>BSH</v>
      </c>
      <c r="U13" s="90"/>
      <c r="V13" s="86" t="str">
        <f>'Rangkuman NAM'!U19</f>
        <v>Perkembangan Nilai-Nilai Agama dan Moral Nathania berkembang sesuai dengan usianya. Hal ini ditunjukkan oleh kemampuan Nathania dapat mempercayai adanya Tuhan misalnya mengenal macam-macam ciptaan Tuhan dan mengenal perilaku baik sebagai cerminan akhlak mulia misalnya bertutur kata sopan terhadap orang tua.</v>
      </c>
      <c r="W13" s="87" t="str">
        <f>'Rangkuman NAM'!V19</f>
        <v>Untuk dapat menghargai diri sendiri, orang lain, dan lingkungan sekitar sebagai rasa syukur kepada Tuhan misalnya mengucapkan "Puji Tuhan" sebagai tanda syukur masih perlu bimbingan dan motivasi dari para guru dan orang tua secara terus menerus. Terima kasih atas perhatian dan kerja samanya. Tuhan memberkati.</v>
      </c>
    </row>
    <row r="14" spans="2:23" ht="15.5">
      <c r="B14" s="33">
        <f t="shared" si="0"/>
        <v>13</v>
      </c>
      <c r="C14" s="97">
        <f>+'Rangkuman NAM'!C20</f>
        <v>0</v>
      </c>
      <c r="D14" s="101" t="e">
        <f>'Rangkuman NAM'!E20</f>
        <v>#DIV/0!</v>
      </c>
      <c r="E14" s="102" t="e">
        <f>'Rangkuman NAM'!F20</f>
        <v>#DIV/0!</v>
      </c>
      <c r="F14" s="106"/>
      <c r="G14" s="103" t="e">
        <f>'Rangkuman NAM'!H20</f>
        <v>#DIV/0!</v>
      </c>
      <c r="H14" s="103" t="e">
        <f>'Rangkuman NAM'!I20</f>
        <v>#DIV/0!</v>
      </c>
      <c r="I14" s="24"/>
      <c r="J14" s="103" t="e">
        <f>'Rangkuman NAM'!K20</f>
        <v>#DIV/0!</v>
      </c>
      <c r="K14" s="103" t="e">
        <f>'Rangkuman NAM'!L20</f>
        <v>#DIV/0!</v>
      </c>
      <c r="L14" s="25"/>
      <c r="M14" s="141" t="e">
        <f>'Rangkuman NAM'!N20</f>
        <v>#DIV/0!</v>
      </c>
      <c r="N14" s="141" t="e">
        <f>'Rangkuman NAM'!O20</f>
        <v>#DIV/0!</v>
      </c>
      <c r="O14" s="142"/>
      <c r="P14" s="142" t="e">
        <f>'Rangkuman NAM'!Q20</f>
        <v>#DIV/0!</v>
      </c>
      <c r="Q14" s="143" t="e">
        <f>'Rangkuman NAM'!R20</f>
        <v>#DIV/0!</v>
      </c>
      <c r="R14" s="142"/>
      <c r="S14" s="142" t="e">
        <f>'Rangkuman NAM'!S20</f>
        <v>#DIV/0!</v>
      </c>
      <c r="T14" s="143" t="e">
        <f>'Rangkuman NAM'!T20</f>
        <v>#DIV/0!</v>
      </c>
      <c r="U14" s="90"/>
      <c r="V14" s="86" t="str">
        <f>'Rangkuman NAM'!U20</f>
        <v>Perkembangan Nilai-Nilai Agama dan Moral Nolan berkembang sesuai dengan usianya. Hal ini ditunjukkan oleh kemampuan Nolan dapat mempercayai adanya Tuhan melalui ciptaan-Nya misalnya membedakan benda hidup (tanaman, hewan, dan manusia) ciptaan Tuhan dan gambar benda mati (gambar tanaman, gambar hewan, dan gambar manusia) buatan manusia. Pertahankan dan tingkatkan prestasi di semester berikutnya. Terima kasih atas perhatian dan kerja samanya. Tuhan memberkati.</v>
      </c>
      <c r="W14" s="87">
        <f>'Rangkuman NAM'!V20</f>
        <v>0</v>
      </c>
    </row>
    <row r="15" spans="2:23" ht="15.5">
      <c r="B15" s="33">
        <f t="shared" si="0"/>
        <v>14</v>
      </c>
      <c r="C15" s="97">
        <f>+'Rangkuman NAM'!C21</f>
        <v>0</v>
      </c>
      <c r="D15" s="101" t="e">
        <f>'Rangkuman NAM'!E21</f>
        <v>#DIV/0!</v>
      </c>
      <c r="E15" s="102" t="e">
        <f>'Rangkuman NAM'!F21</f>
        <v>#DIV/0!</v>
      </c>
      <c r="F15" s="106"/>
      <c r="G15" s="103" t="e">
        <f>'Rangkuman NAM'!H21</f>
        <v>#DIV/0!</v>
      </c>
      <c r="H15" s="103" t="e">
        <f>'Rangkuman NAM'!I21</f>
        <v>#DIV/0!</v>
      </c>
      <c r="I15" s="24"/>
      <c r="J15" s="103" t="e">
        <f>'Rangkuman NAM'!K21</f>
        <v>#DIV/0!</v>
      </c>
      <c r="K15" s="103" t="e">
        <f>'Rangkuman NAM'!L21</f>
        <v>#DIV/0!</v>
      </c>
      <c r="L15" s="25"/>
      <c r="M15" s="141" t="e">
        <f>'Rangkuman NAM'!N21</f>
        <v>#DIV/0!</v>
      </c>
      <c r="N15" s="141" t="e">
        <f>'Rangkuman NAM'!O21</f>
        <v>#DIV/0!</v>
      </c>
      <c r="O15" s="142"/>
      <c r="P15" s="142" t="e">
        <f>'Rangkuman NAM'!Q21</f>
        <v>#DIV/0!</v>
      </c>
      <c r="Q15" s="143" t="e">
        <f>'Rangkuman NAM'!R21</f>
        <v>#DIV/0!</v>
      </c>
      <c r="R15" s="142"/>
      <c r="S15" s="142" t="e">
        <f>'Rangkuman NAM'!S21</f>
        <v>#DIV/0!</v>
      </c>
      <c r="T15" s="143" t="e">
        <f>'Rangkuman NAM'!T21</f>
        <v>#DIV/0!</v>
      </c>
      <c r="U15" s="90"/>
      <c r="V15" s="86" t="str">
        <f>'Rangkuman NAM'!U21</f>
        <v xml:space="preserve">Perkembangan Nilai-Nilai Agama dan Moral Valencia berkembang sesuai dengan usianya. Hal ini ditunjukkan oleh kemampuan Valencia dapat mempercayai adanya Tuhan melalui ciptaan-Nya misalnya membedakan benda hidup (tanaman, hewan, dan manusia) ciptaan Tuhan dan benda mati (gambar tanaman, gambar hewan, dan gambar manusia) buatan manusia. </v>
      </c>
      <c r="W15" s="87" t="str">
        <f>'Rangkuman NAM'!V21</f>
        <v>Untuk dapat mengenal kegiatan beribadah sehari-hari misalnya sikap doa dengan baik masih perlu bimbingan dan motivasi  dari para guru dan orang tua secara terus menerus. Terima kasih atas perhatian dan kerja samanya. Tuhan memberkati.</v>
      </c>
    </row>
    <row r="16" spans="2:23" ht="15.5">
      <c r="B16" s="33">
        <f t="shared" si="0"/>
        <v>15</v>
      </c>
      <c r="C16" s="97">
        <f>+'Rangkuman NAM'!C22</f>
        <v>0</v>
      </c>
      <c r="D16" s="101">
        <f>'Rangkuman NAM'!E22</f>
        <v>0</v>
      </c>
      <c r="E16" s="102">
        <f>'Rangkuman NAM'!F22</f>
        <v>0</v>
      </c>
      <c r="F16" s="106"/>
      <c r="G16" s="103">
        <f>'Rangkuman NAM'!H22</f>
        <v>0</v>
      </c>
      <c r="H16" s="103">
        <f>'Rangkuman NAM'!I22</f>
        <v>0</v>
      </c>
      <c r="I16" s="24"/>
      <c r="J16" s="103">
        <f>'Rangkuman NAM'!K22</f>
        <v>0</v>
      </c>
      <c r="K16" s="103">
        <f>'Rangkuman NAM'!L22</f>
        <v>0</v>
      </c>
      <c r="L16" s="25"/>
      <c r="M16" s="141">
        <f>'Rangkuman NAM'!N22</f>
        <v>0</v>
      </c>
      <c r="N16" s="141">
        <f>'Rangkuman NAM'!O22</f>
        <v>0</v>
      </c>
      <c r="O16" s="142"/>
      <c r="P16" s="142">
        <f>'Rangkuman NAM'!Q22</f>
        <v>0</v>
      </c>
      <c r="Q16" s="143">
        <f>'Rangkuman NAM'!R22</f>
        <v>0</v>
      </c>
      <c r="R16" s="142"/>
      <c r="S16" s="142">
        <f>'Rangkuman NAM'!S22</f>
        <v>0</v>
      </c>
      <c r="T16" s="143">
        <f>'Rangkuman NAM'!T22</f>
        <v>0</v>
      </c>
      <c r="U16" s="90"/>
      <c r="V16" s="86">
        <f>'Rangkuman NAM'!U22</f>
        <v>0</v>
      </c>
      <c r="W16" s="87">
        <f>'Rangkuman NAM'!V22</f>
        <v>0</v>
      </c>
    </row>
    <row r="17" spans="2:23" ht="15.5">
      <c r="B17" s="33">
        <f t="shared" si="0"/>
        <v>16</v>
      </c>
      <c r="C17" s="97">
        <f>+'Rangkuman NAM'!C23</f>
        <v>0</v>
      </c>
      <c r="D17" s="101">
        <f>'Rangkuman NAM'!E23</f>
        <v>0</v>
      </c>
      <c r="E17" s="102">
        <f>'Rangkuman NAM'!F23</f>
        <v>0</v>
      </c>
      <c r="F17" s="106"/>
      <c r="G17" s="103">
        <f>'Rangkuman NAM'!H23</f>
        <v>0</v>
      </c>
      <c r="H17" s="103">
        <f>'Rangkuman NAM'!I23</f>
        <v>0</v>
      </c>
      <c r="I17" s="24"/>
      <c r="J17" s="103">
        <f>'Rangkuman NAM'!K23</f>
        <v>0</v>
      </c>
      <c r="K17" s="103">
        <f>'Rangkuman NAM'!L23</f>
        <v>0</v>
      </c>
      <c r="L17" s="25"/>
      <c r="M17" s="141">
        <f>'Rangkuman NAM'!N23</f>
        <v>0</v>
      </c>
      <c r="N17" s="141">
        <f>'Rangkuman NAM'!O23</f>
        <v>0</v>
      </c>
      <c r="O17" s="142"/>
      <c r="P17" s="142">
        <f>'Rangkuman NAM'!Q23</f>
        <v>0</v>
      </c>
      <c r="Q17" s="143">
        <f>'Rangkuman NAM'!R23</f>
        <v>0</v>
      </c>
      <c r="R17" s="142"/>
      <c r="S17" s="142">
        <f>'Rangkuman NAM'!S23</f>
        <v>0</v>
      </c>
      <c r="T17" s="143">
        <f>'Rangkuman NAM'!T23</f>
        <v>0</v>
      </c>
      <c r="U17" s="90"/>
      <c r="V17" s="86">
        <f>'Rangkuman NAM'!U23</f>
        <v>0</v>
      </c>
      <c r="W17" s="87">
        <f>'Rangkuman NAM'!V23</f>
        <v>0</v>
      </c>
    </row>
    <row r="18" spans="2:23" ht="15.5">
      <c r="B18" s="33">
        <f t="shared" si="0"/>
        <v>17</v>
      </c>
      <c r="C18" s="97">
        <f>+'Rangkuman NAM'!C24</f>
        <v>0</v>
      </c>
      <c r="D18" s="101">
        <f>'Rangkuman NAM'!E24</f>
        <v>0</v>
      </c>
      <c r="E18" s="102">
        <f>'Rangkuman NAM'!F24</f>
        <v>0</v>
      </c>
      <c r="F18" s="106"/>
      <c r="G18" s="103">
        <f>'Rangkuman NAM'!H24</f>
        <v>0</v>
      </c>
      <c r="H18" s="103">
        <f>'Rangkuman NAM'!I24</f>
        <v>0</v>
      </c>
      <c r="I18" s="24"/>
      <c r="J18" s="103">
        <f>'Rangkuman NAM'!K24</f>
        <v>0</v>
      </c>
      <c r="K18" s="103">
        <f>'Rangkuman NAM'!L24</f>
        <v>0</v>
      </c>
      <c r="L18" s="25"/>
      <c r="M18" s="104">
        <f>'Rangkuman NAM'!N24</f>
        <v>0</v>
      </c>
      <c r="N18" s="104">
        <f>'Rangkuman NAM'!O24</f>
        <v>0</v>
      </c>
      <c r="O18" s="25"/>
      <c r="P18" s="25">
        <f>'Rangkuman NAM'!Q24</f>
        <v>0</v>
      </c>
      <c r="Q18" s="105">
        <f>'Rangkuman NAM'!R24</f>
        <v>0</v>
      </c>
      <c r="R18" s="25"/>
      <c r="S18" s="25">
        <f>'Rangkuman NAM'!S24</f>
        <v>0</v>
      </c>
      <c r="T18" s="105">
        <f>'Rangkuman NAM'!T24</f>
        <v>0</v>
      </c>
      <c r="U18" s="90"/>
      <c r="V18" s="86">
        <f>'Rangkuman NAM'!U24</f>
        <v>0</v>
      </c>
      <c r="W18" s="87">
        <f>'Rangkuman NAM'!V24</f>
        <v>0</v>
      </c>
    </row>
    <row r="19" spans="2:23" ht="15.5">
      <c r="B19" s="33">
        <f t="shared" si="0"/>
        <v>18</v>
      </c>
      <c r="C19" s="97"/>
      <c r="D19" s="101"/>
      <c r="E19" s="102"/>
      <c r="F19" s="106"/>
      <c r="G19" s="103"/>
      <c r="H19" s="103"/>
      <c r="I19" s="24"/>
      <c r="J19" s="103"/>
      <c r="K19" s="103"/>
      <c r="L19" s="25"/>
      <c r="M19" s="104"/>
      <c r="N19" s="104"/>
      <c r="O19" s="25"/>
      <c r="P19" s="25"/>
      <c r="Q19" s="105"/>
      <c r="R19" s="25"/>
      <c r="S19" s="25"/>
      <c r="T19" s="105"/>
      <c r="U19" s="90"/>
      <c r="V19" s="86"/>
      <c r="W19" s="87"/>
    </row>
    <row r="20" spans="2:23" ht="15.5">
      <c r="B20" s="33">
        <f t="shared" si="0"/>
        <v>19</v>
      </c>
      <c r="C20" s="98"/>
      <c r="D20" s="101"/>
      <c r="E20" s="102"/>
      <c r="F20" s="106"/>
      <c r="G20" s="103"/>
      <c r="H20" s="103"/>
      <c r="I20" s="24"/>
      <c r="J20" s="103"/>
      <c r="K20" s="103"/>
      <c r="L20" s="25"/>
      <c r="M20" s="104"/>
      <c r="N20" s="104"/>
      <c r="O20" s="25"/>
      <c r="P20" s="25"/>
      <c r="Q20" s="105"/>
      <c r="R20" s="25"/>
      <c r="S20" s="25"/>
      <c r="T20" s="105"/>
      <c r="U20" s="90"/>
      <c r="V20" s="86"/>
      <c r="W20" s="87"/>
    </row>
    <row r="21" spans="2:23" ht="15.5">
      <c r="B21" s="33">
        <f t="shared" si="0"/>
        <v>20</v>
      </c>
      <c r="C21" s="99"/>
      <c r="D21" s="101"/>
      <c r="E21" s="102"/>
      <c r="F21" s="106"/>
      <c r="G21" s="103"/>
      <c r="H21" s="103"/>
      <c r="I21" s="24"/>
      <c r="J21" s="103"/>
      <c r="K21" s="103"/>
      <c r="L21" s="25"/>
      <c r="M21" s="104"/>
      <c r="N21" s="104"/>
      <c r="O21" s="25"/>
      <c r="P21" s="25"/>
      <c r="Q21" s="105"/>
      <c r="R21" s="25"/>
      <c r="S21" s="25"/>
      <c r="T21" s="105"/>
      <c r="U21" s="90"/>
      <c r="V21" s="86"/>
      <c r="W21" s="87"/>
    </row>
    <row r="22" spans="2:23" ht="16" thickBot="1">
      <c r="B22" s="33">
        <f t="shared" si="0"/>
        <v>21</v>
      </c>
      <c r="C22" s="100"/>
      <c r="D22" s="101"/>
      <c r="E22" s="102"/>
      <c r="F22" s="106"/>
      <c r="G22" s="103"/>
      <c r="H22" s="103"/>
      <c r="I22" s="24"/>
      <c r="J22" s="103"/>
      <c r="K22" s="103"/>
      <c r="L22" s="25"/>
      <c r="M22" s="104"/>
      <c r="N22" s="104"/>
      <c r="O22" s="25"/>
      <c r="P22" s="25"/>
      <c r="Q22" s="105"/>
      <c r="R22" s="25"/>
      <c r="S22" s="25"/>
      <c r="T22" s="105"/>
      <c r="U22" s="90"/>
      <c r="V22" s="86"/>
      <c r="W22" s="87"/>
    </row>
    <row r="23" spans="2:23" ht="15.5">
      <c r="B23" s="33">
        <f t="shared" si="0"/>
        <v>22</v>
      </c>
      <c r="C23" s="57"/>
      <c r="D23" s="75"/>
      <c r="E23" s="76"/>
      <c r="F23" s="32"/>
      <c r="G23" s="77"/>
      <c r="H23" s="77"/>
      <c r="I23" s="24"/>
      <c r="J23" s="77"/>
      <c r="K23" s="77"/>
      <c r="L23" s="25"/>
      <c r="M23" s="78"/>
      <c r="N23" s="78"/>
      <c r="O23" s="25"/>
      <c r="P23" s="90"/>
      <c r="Q23" s="90"/>
      <c r="R23" s="90"/>
      <c r="S23" s="90"/>
      <c r="T23" s="92"/>
      <c r="U23" s="90"/>
      <c r="V23" s="86"/>
      <c r="W23" s="87"/>
    </row>
    <row r="24" spans="2:23" ht="15.5">
      <c r="B24" s="33">
        <f t="shared" si="0"/>
        <v>23</v>
      </c>
      <c r="C24" s="57"/>
      <c r="D24" s="75"/>
      <c r="E24" s="76"/>
      <c r="F24" s="32"/>
      <c r="G24" s="77"/>
      <c r="H24" s="77"/>
      <c r="I24" s="24"/>
      <c r="J24" s="77"/>
      <c r="K24" s="77"/>
      <c r="L24" s="25"/>
      <c r="M24" s="78"/>
      <c r="N24" s="78"/>
      <c r="O24" s="25"/>
      <c r="P24" s="90"/>
      <c r="Q24" s="90"/>
      <c r="R24" s="90"/>
      <c r="S24" s="90"/>
      <c r="T24" s="92"/>
      <c r="U24" s="90"/>
      <c r="V24" s="86"/>
      <c r="W24" s="87"/>
    </row>
    <row r="25" spans="2:23" ht="15.5">
      <c r="B25" s="33">
        <f t="shared" si="0"/>
        <v>24</v>
      </c>
      <c r="C25" s="57"/>
      <c r="D25" s="75"/>
      <c r="E25" s="76"/>
      <c r="F25" s="32"/>
      <c r="G25" s="77"/>
      <c r="H25" s="77"/>
      <c r="I25" s="24"/>
      <c r="J25" s="77"/>
      <c r="K25" s="77"/>
      <c r="L25" s="25"/>
      <c r="M25" s="78"/>
      <c r="N25" s="78"/>
      <c r="O25" s="25"/>
      <c r="P25" s="90"/>
      <c r="Q25" s="90"/>
      <c r="R25" s="90"/>
      <c r="S25" s="90"/>
      <c r="T25" s="92"/>
      <c r="U25" s="90"/>
      <c r="V25" s="86"/>
      <c r="W25" s="87"/>
    </row>
    <row r="26" spans="2:23" ht="15.5">
      <c r="B26" s="33">
        <f t="shared" si="0"/>
        <v>25</v>
      </c>
      <c r="C26" s="57"/>
      <c r="D26" s="75"/>
      <c r="E26" s="76"/>
      <c r="F26" s="32"/>
      <c r="G26" s="77"/>
      <c r="H26" s="77"/>
      <c r="I26" s="24"/>
      <c r="J26" s="77"/>
      <c r="K26" s="77"/>
      <c r="L26" s="25"/>
      <c r="M26" s="78"/>
      <c r="N26" s="78"/>
      <c r="O26" s="25"/>
      <c r="P26" s="90"/>
      <c r="Q26" s="90"/>
      <c r="R26" s="90"/>
      <c r="S26" s="90"/>
      <c r="T26" s="92"/>
      <c r="U26" s="90"/>
      <c r="V26" s="86"/>
      <c r="W26" s="87"/>
    </row>
    <row r="27" spans="2:23" ht="15.5">
      <c r="B27" s="33">
        <f t="shared" si="0"/>
        <v>26</v>
      </c>
      <c r="C27" s="57"/>
      <c r="D27" s="75"/>
      <c r="E27" s="76"/>
      <c r="F27" s="32"/>
      <c r="G27" s="77"/>
      <c r="H27" s="77"/>
      <c r="I27" s="24"/>
      <c r="J27" s="77"/>
      <c r="K27" s="77"/>
      <c r="L27" s="25"/>
      <c r="M27" s="78"/>
      <c r="N27" s="78"/>
      <c r="O27" s="25"/>
      <c r="P27" s="90"/>
      <c r="Q27" s="90"/>
      <c r="R27" s="90"/>
      <c r="S27" s="90"/>
      <c r="T27" s="92"/>
      <c r="U27" s="90"/>
      <c r="V27" s="86"/>
      <c r="W27" s="87"/>
    </row>
    <row r="28" spans="2:23" ht="15.5">
      <c r="B28" s="33">
        <f t="shared" si="0"/>
        <v>27</v>
      </c>
      <c r="C28" s="57"/>
      <c r="D28" s="75"/>
      <c r="E28" s="76"/>
      <c r="F28" s="32"/>
      <c r="G28" s="77"/>
      <c r="H28" s="77"/>
      <c r="I28" s="24"/>
      <c r="J28" s="77"/>
      <c r="K28" s="77"/>
      <c r="L28" s="25"/>
      <c r="M28" s="78"/>
      <c r="N28" s="78"/>
      <c r="O28" s="25"/>
      <c r="P28" s="90"/>
      <c r="Q28" s="90"/>
      <c r="R28" s="90"/>
      <c r="S28" s="90"/>
      <c r="T28" s="92"/>
      <c r="U28" s="90"/>
      <c r="V28" s="86"/>
      <c r="W28" s="87"/>
    </row>
    <row r="29" spans="2:23" ht="15.5">
      <c r="B29" s="33">
        <f t="shared" si="0"/>
        <v>28</v>
      </c>
      <c r="C29" s="57"/>
      <c r="D29" s="75"/>
      <c r="E29" s="76"/>
      <c r="F29" s="32"/>
      <c r="G29" s="77"/>
      <c r="H29" s="77"/>
      <c r="I29" s="24"/>
      <c r="J29" s="77"/>
      <c r="K29" s="77"/>
      <c r="L29" s="25"/>
      <c r="M29" s="78"/>
      <c r="N29" s="78"/>
      <c r="O29" s="25"/>
      <c r="P29" s="90"/>
      <c r="Q29" s="90"/>
      <c r="R29" s="90"/>
      <c r="S29" s="90"/>
      <c r="T29" s="92"/>
      <c r="U29" s="90"/>
      <c r="V29" s="86"/>
      <c r="W29" s="87"/>
    </row>
    <row r="30" spans="2:23" ht="15.5">
      <c r="B30" s="33">
        <f t="shared" si="0"/>
        <v>29</v>
      </c>
      <c r="C30" s="57"/>
      <c r="D30" s="75"/>
      <c r="E30" s="76"/>
      <c r="F30" s="32"/>
      <c r="G30" s="77"/>
      <c r="H30" s="77"/>
      <c r="I30" s="24"/>
      <c r="J30" s="77"/>
      <c r="K30" s="77"/>
      <c r="L30" s="25"/>
      <c r="M30" s="78"/>
      <c r="N30" s="78"/>
      <c r="O30" s="25"/>
      <c r="P30" s="90"/>
      <c r="Q30" s="90"/>
      <c r="R30" s="90"/>
      <c r="S30" s="90"/>
      <c r="T30" s="92"/>
      <c r="U30" s="90"/>
      <c r="V30" s="86"/>
      <c r="W30" s="87"/>
    </row>
    <row r="31" spans="2:23" ht="22.5" customHeight="1" thickBot="1">
      <c r="B31" s="26"/>
      <c r="C31" s="42" t="s">
        <v>0</v>
      </c>
      <c r="D31" s="49" t="e">
        <f>+#REF!</f>
        <v>#REF!</v>
      </c>
      <c r="E31" s="43" t="e">
        <f>IF(D31&gt;95,"A+",IF(D31&gt;79.9,"A",IF(D31&gt;74,"B",IF(D31&gt;59,"C",IF(D31&gt;39,"K","KS")))))</f>
        <v>#REF!</v>
      </c>
      <c r="F31" s="44"/>
      <c r="G31" s="49" t="e">
        <f>+#REF!</f>
        <v>#REF!</v>
      </c>
      <c r="H31" s="45" t="e">
        <f>IF(G31&gt;95,"A+",IF(G31&gt;79.9,"A",IF(G31&gt;74,"B",IF(G31&gt;59,"C",IF(G31&gt;39,"K","KS")))))</f>
        <v>#REF!</v>
      </c>
      <c r="I31" s="46"/>
      <c r="J31" s="49" t="e">
        <f>+#REF!</f>
        <v>#REF!</v>
      </c>
      <c r="K31" s="47" t="e">
        <f>IF(J31&gt;95,"A+",IF(J31&gt;79.9,"A",IF(J31&gt;74,"B",IF(J31&gt;59,"C",IF(J31&gt;39,"K","KS")))))</f>
        <v>#REF!</v>
      </c>
      <c r="L31" s="46"/>
      <c r="M31" s="49" t="e">
        <f>+#REF!</f>
        <v>#REF!</v>
      </c>
      <c r="N31" s="47" t="e">
        <f>IF(M31&gt;95,"A+",IF(M31&gt;79.9,"A",IF(M31&gt;74,"B",IF(M31&gt;59,"C",IF(M31&gt;39,"K","KS")))))</f>
        <v>#REF!</v>
      </c>
      <c r="O31" s="46"/>
      <c r="P31" s="90">
        <f>'Rangkuman NAM'!Q37</f>
        <v>0</v>
      </c>
      <c r="Q31" s="90">
        <f>'Rangkuman NAM'!R37</f>
        <v>0</v>
      </c>
      <c r="R31" s="91"/>
      <c r="S31" s="90">
        <f>'Rangkuman NAM'!S37</f>
        <v>0</v>
      </c>
      <c r="T31" s="92">
        <f>'Rangkuman NAM'!T37</f>
        <v>0</v>
      </c>
      <c r="U31" s="91"/>
      <c r="V31" s="86">
        <f>'Rangkuman NAM'!U37</f>
        <v>0</v>
      </c>
      <c r="W31" s="87">
        <f>'Rangkuman NAM'!V37</f>
        <v>0</v>
      </c>
    </row>
    <row r="33" spans="2:2">
      <c r="B33" t="s">
        <v>23</v>
      </c>
    </row>
    <row r="34" spans="2:2">
      <c r="B34" t="s">
        <v>24</v>
      </c>
    </row>
    <row r="37" spans="2:2">
      <c r="B37" s="27" t="s">
        <v>27</v>
      </c>
    </row>
  </sheetData>
  <phoneticPr fontId="0" type="noConversion"/>
  <printOptions horizontalCentered="1"/>
  <pageMargins left="0.18" right="0.16" top="1" bottom="1" header="0.5" footer="0.5"/>
  <pageSetup orientation="portrait" horizontalDpi="4294967294" verticalDpi="144"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PETUNJUK</vt:lpstr>
      <vt:lpstr>SIMBUL HBS</vt:lpstr>
      <vt:lpstr>DAFNIL NAM</vt:lpstr>
      <vt:lpstr>Rangkuman NAM</vt:lpstr>
      <vt:lpstr>RAPORTAGAMA PRINT OUT</vt:lpstr>
      <vt:lpstr>'DAFNIL NAM'!Print_Area</vt:lpstr>
      <vt:lpstr>'Rangkuman NAM'!Print_Area</vt:lpstr>
      <vt:lpstr>'RAPORTAGAMA PRINT OUT'!Print_Area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 Sri Sukabdiyah</dc:creator>
  <cp:lastModifiedBy>ACER</cp:lastModifiedBy>
  <cp:lastPrinted>2007-10-23T13:51:30Z</cp:lastPrinted>
  <dcterms:created xsi:type="dcterms:W3CDTF">2005-11-12T14:27:10Z</dcterms:created>
  <dcterms:modified xsi:type="dcterms:W3CDTF">2020-05-28T17:07:16Z</dcterms:modified>
</cp:coreProperties>
</file>